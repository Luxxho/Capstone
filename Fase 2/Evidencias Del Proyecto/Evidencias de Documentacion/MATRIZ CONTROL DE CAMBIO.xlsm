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Hoja1" sheetId="1" r:id="rId4"/>
    <sheet state="visible" name="Catálogo RF-CU" sheetId="2" r:id="rId5"/>
    <sheet state="visible" name="Resumen" sheetId="3" r:id="rId6"/>
  </sheets>
  <definedNames/>
  <calcPr/>
  <extLst>
    <ext uri="GoogleSheetsCustomDataVersion2">
      <go:sheetsCustomData xmlns:go="http://customooxmlschemas.google.com/" r:id="rId7" roundtripDataChecksum="riV2xyB4u69ZgeJKdksYawmd4TSsJBa2Y8Ke9rkkrGo="/>
    </ext>
  </extLst>
</workbook>
</file>

<file path=xl/sharedStrings.xml><?xml version="1.0" encoding="utf-8"?>
<sst xmlns="http://schemas.openxmlformats.org/spreadsheetml/2006/main" count="363" uniqueCount="164">
  <si>
    <t>Matriz Control de Cambio</t>
  </si>
  <si>
    <t>Catálogo de Requerimientos y Casos de Uso – VetMap</t>
  </si>
  <si>
    <t>RF</t>
  </si>
  <si>
    <t>Requerimiento funcional</t>
  </si>
  <si>
    <t>CU</t>
  </si>
  <si>
    <t>Caso de uso relacionado</t>
  </si>
  <si>
    <t>Base en el caso de negocio</t>
  </si>
  <si>
    <t>RF-01</t>
  </si>
  <si>
    <t>Gestión de usuarios, perfiles y acceso</t>
  </si>
  <si>
    <t>CU-01</t>
  </si>
  <si>
    <t>Registrarse, iniciar sesión y gestionar perfil</t>
  </si>
  <si>
    <t>Registro de usuarios y administración de perfiles.</t>
  </si>
  <si>
    <t>RF-02</t>
  </si>
  <si>
    <t>ID</t>
  </si>
  <si>
    <t>Registro y gestión integral de mascotas</t>
  </si>
  <si>
    <t>CU-02</t>
  </si>
  <si>
    <t>Registrar y gestionar mascota</t>
  </si>
  <si>
    <t>Perfil, vacunas, medicamentos, peso, historial y controles.</t>
  </si>
  <si>
    <t>RF-03</t>
  </si>
  <si>
    <t>Catálogo y comparación de productos</t>
  </si>
  <si>
    <t>CU-03</t>
  </si>
  <si>
    <t>Buscar y comparar productos</t>
  </si>
  <si>
    <t>Comparación por precio, stock, marca, formato y establecimiento.</t>
  </si>
  <si>
    <t>Solicitante Cliente/ Cargo</t>
  </si>
  <si>
    <t>RF-04</t>
  </si>
  <si>
    <t>Histórico y alertas de precios</t>
  </si>
  <si>
    <t>CU-04</t>
  </si>
  <si>
    <t>Consultar histórico y configurar alerta de precio</t>
  </si>
  <si>
    <t>Historial de precios y notificaciones configurables.</t>
  </si>
  <si>
    <t>Fecha de solicitud</t>
  </si>
  <si>
    <t>RF-05</t>
  </si>
  <si>
    <t>Búsqueda de veterinarias y tiendas cercanas</t>
  </si>
  <si>
    <t>CU-05</t>
  </si>
  <si>
    <t>Localizar establecimiento</t>
  </si>
  <si>
    <t>Tipo de Cambio:
-Solicitud Cliente=SC
-Corrección=C</t>
  </si>
  <si>
    <t>Ubicación y acceso a establecimientos cercanos.</t>
  </si>
  <si>
    <t>RF-06</t>
  </si>
  <si>
    <t>Nivel de urgencia del cambio:
Crítico - Urgente - Necesario</t>
  </si>
  <si>
    <t>Gestión clínica y agendamiento</t>
  </si>
  <si>
    <t>CU-06</t>
  </si>
  <si>
    <t>Gestionar atención veterinaria</t>
  </si>
  <si>
    <t>Importancia del cambio
Alto-Medio-Bajo</t>
  </si>
  <si>
    <t>Pacientes, fichas, consultas, diagnósticos, recetas, horas y veterinarios.</t>
  </si>
  <si>
    <t>Descripción del cambio</t>
  </si>
  <si>
    <t>RF-07</t>
  </si>
  <si>
    <t>Requerimiento Relacionado
RF-N°</t>
  </si>
  <si>
    <t>Gestión de pedidos y seguimiento de despachos</t>
  </si>
  <si>
    <t>CU-07</t>
  </si>
  <si>
    <t>Caso de Uso Relacionado
CU-N°</t>
  </si>
  <si>
    <t>Gestionar pedido y despacho</t>
  </si>
  <si>
    <t>Pedido, preparación, asignación, seguimiento y entrega.</t>
  </si>
  <si>
    <t>Fase del Proyecto en que se Aplica</t>
  </si>
  <si>
    <t>RF-08</t>
  </si>
  <si>
    <t>Incidencias y evidencia de entrega</t>
  </si>
  <si>
    <t>Impacto
Alto-Medio-Bajo</t>
  </si>
  <si>
    <t>CU-08</t>
  </si>
  <si>
    <t>Registrar incidencia y entrega</t>
  </si>
  <si>
    <t>Aprobación:
Aceptado-Rechazado</t>
  </si>
  <si>
    <t>Incidencias, desviaciones y fotografía como evidencia.</t>
  </si>
  <si>
    <t>RF-09</t>
  </si>
  <si>
    <t>Alertas inteligentes preventivas</t>
  </si>
  <si>
    <t>CU-09</t>
  </si>
  <si>
    <t>Generar y consultar alerta preventiva</t>
  </si>
  <si>
    <t>Detección de patrones sin sustituir el diagnóstico veterinario.</t>
  </si>
  <si>
    <t>RF-10</t>
  </si>
  <si>
    <t>Panel administrativo y control de plataforma</t>
  </si>
  <si>
    <t>CU-10</t>
  </si>
  <si>
    <t>Administrar plataforma</t>
  </si>
  <si>
    <t>Gestión general de usuarios, entidades, productos, pedidos y alertas.</t>
  </si>
  <si>
    <t>RF-11</t>
  </si>
  <si>
    <t>Reportes y estadísticas</t>
  </si>
  <si>
    <t>CU-11</t>
  </si>
  <si>
    <t>Generar y consultar reportes</t>
  </si>
  <si>
    <t>Indicadores de productos, mascotas, veterinarias y despachos.</t>
  </si>
  <si>
    <t>RF-12</t>
  </si>
  <si>
    <t>Seguridad, privacidad y auditoría transversal</t>
  </si>
  <si>
    <t>CU-12</t>
  </si>
  <si>
    <t>Gestionar seguridad y auditoría</t>
  </si>
  <si>
    <t>SC-01</t>
  </si>
  <si>
    <t>Derivado del panel administrativo, auditoría y protección de información operativa.</t>
  </si>
  <si>
    <t>Usuario final / Dueño de mascota</t>
  </si>
  <si>
    <t>SC</t>
  </si>
  <si>
    <t>Necesario</t>
  </si>
  <si>
    <t>Medio</t>
  </si>
  <si>
    <t>Agregar filtros por marca, formato, rango de precio y disponibilidad en el comparador de productos.</t>
  </si>
  <si>
    <t>Análisis y diseño</t>
  </si>
  <si>
    <t>Aceptado</t>
  </si>
  <si>
    <t>SC-02</t>
  </si>
  <si>
    <t>Encargado/a de tienda veterinaria</t>
  </si>
  <si>
    <t>C</t>
  </si>
  <si>
    <t>Urgente</t>
  </si>
  <si>
    <t>Alto</t>
  </si>
  <si>
    <t>Mostrar fecha y hora de última actualización de stock y precio para reducir información desactualizada.</t>
  </si>
  <si>
    <t>Desarrollo</t>
  </si>
  <si>
    <t>SC-03</t>
  </si>
  <si>
    <t>Permitir cancelar o reprogramar una hora veterinaria desde la plataforma.</t>
  </si>
  <si>
    <t>SC-04</t>
  </si>
  <si>
    <t>QA / Calidad y Testing</t>
  </si>
  <si>
    <t>Corregir la generación duplicada de recordatorios cuando una atención veterinaria es modificada.</t>
  </si>
  <si>
    <t>Pruebas y QA</t>
  </si>
  <si>
    <t>SC-05</t>
  </si>
  <si>
    <t>Agregar filtros de veterinarias y tiendas por tipo de servicio y disponibilidad al buscador geográfico.</t>
  </si>
  <si>
    <t>SC-06</t>
  </si>
  <si>
    <t>Analista Programador</t>
  </si>
  <si>
    <t>Incorporar una alternativa de búsqueda manual por comuna cuando el usuario no autorice geolocalización.</t>
  </si>
  <si>
    <t>SC-07</t>
  </si>
  <si>
    <t>Representante clínica veterinaria</t>
  </si>
  <si>
    <t>Registrar auditoría básica de cambios sobre fichas médicas: usuario, fecha y acción realizada.</t>
  </si>
  <si>
    <t>SC-08</t>
  </si>
  <si>
    <t>Crítico</t>
  </si>
  <si>
    <t>Restringir el acceso a fichas médicas según rol y establecimiento para evitar acceso no autorizado.</t>
  </si>
  <si>
    <t>SC-09</t>
  </si>
  <si>
    <t>Jefe de Proyecto</t>
  </si>
  <si>
    <t>Permitir exportar reportes operativos y estadísticos a CSV y PDF.</t>
  </si>
  <si>
    <t>SC-10</t>
  </si>
  <si>
    <t>Administrador BD</t>
  </si>
  <si>
    <t>Optimizar consultas del histórico de precios para evitar tiempos de respuesta elevados al comparar productos.</t>
  </si>
  <si>
    <t>SC-11</t>
  </si>
  <si>
    <t>Agregar notificación cuando un producto marcado por el usuario vuelva a tener stock disponible.</t>
  </si>
  <si>
    <t>SC-12</t>
  </si>
  <si>
    <t>Encargado/a logística y reparto</t>
  </si>
  <si>
    <t>Impedir cerrar un despacho como entregado si no se adjunta la evidencia fotográfica requerida.</t>
  </si>
  <si>
    <t>SC-13</t>
  </si>
  <si>
    <t>Agregar un catálogo de motivos para registrar incidencias, retrasos y desviaciones durante el despacho.</t>
  </si>
  <si>
    <t>Bajo</t>
  </si>
  <si>
    <t>SC-14</t>
  </si>
  <si>
    <t>Guardar temporalmente estados de ruta y sincronizarlos cuando se recupere la conexión a internet.</t>
  </si>
  <si>
    <t>SC-15</t>
  </si>
  <si>
    <t>Representante tienda veterinaria</t>
  </si>
  <si>
    <t>Incorporar pago en línea y procesamiento de transacciones directamente dentro de VetMap.</t>
  </si>
  <si>
    <t>Rechazado</t>
  </si>
  <si>
    <t>SC-16</t>
  </si>
  <si>
    <t>Agregar videoconsultas veterinarias integradas como modalidad de atención remota.</t>
  </si>
  <si>
    <t>SC-17</t>
  </si>
  <si>
    <t>Agregar texto preventivo visible en las alertas inteligentes para indicar que no constituyen un diagnóstico médico.</t>
  </si>
  <si>
    <t>SC-18</t>
  </si>
  <si>
    <t>Validar rangos y consistencia de los registros de peso para evitar que datos erróneos generen alertas preventivas falsas.</t>
  </si>
  <si>
    <t>SC-19</t>
  </si>
  <si>
    <t>Agregar diagnósticos veterinarios automáticos generados por inteligencia artificial a partir del historial de la mascota.</t>
  </si>
  <si>
    <t>SC-20</t>
  </si>
  <si>
    <t>Incorporar permisos diferenciados por rol para administrador, clínica, tienda y repartidor.</t>
  </si>
  <si>
    <t>SC-21</t>
  </si>
  <si>
    <t>Evitar registros duplicados de mascotas mediante validaciones de propietario y datos principales.</t>
  </si>
  <si>
    <t>SC-22</t>
  </si>
  <si>
    <t>Agregar consentimiento y aviso de privacidad antes de almacenar antecedentes médicos y fotografías de evidencia.</t>
  </si>
  <si>
    <t>SC-23</t>
  </si>
  <si>
    <t>Diseñador UI/UX</t>
  </si>
  <si>
    <t>Ajustar diseño responsive y accesibilidad visual de las plataformas web para resoluciones de notebook y tablet.</t>
  </si>
  <si>
    <t>SC-24</t>
  </si>
  <si>
    <t>Agregar monitoreo básico de errores, disponibilidad y eventos críticos después del despliegue a producción.</t>
  </si>
  <si>
    <t>Implementación y cierre</t>
  </si>
  <si>
    <t>Resumen de Control de Cambios – VetMap</t>
  </si>
  <si>
    <t>Indicador</t>
  </si>
  <si>
    <t>Cantidad</t>
  </si>
  <si>
    <t>Aprobación</t>
  </si>
  <si>
    <t>Total de cambios</t>
  </si>
  <si>
    <t>Aceptados</t>
  </si>
  <si>
    <t>Rechazados</t>
  </si>
  <si>
    <t>Solicitud Cliente (SC)</t>
  </si>
  <si>
    <t>Correcciones (C)</t>
  </si>
  <si>
    <t>Impacto</t>
  </si>
  <si>
    <t>Impacto Alto</t>
  </si>
  <si>
    <t>Impacto Medio</t>
  </si>
  <si>
    <t>Impacto Bajo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</si>
</sst>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-mm-yyyy"/>
  </numFmts>
  <fonts count="7">
    <font>
      <sz val="11.0"/>
      <color theme="1"/>
      <name val="Calibri"/>
      <scheme val="minor"/>
    </font>
    <font>
      <b/>
      <sz val="16.0"/>
      <color theme="1"/>
      <name val="Calibri"/>
    </font>
    <font>
      <sz val="18.0"/>
      <color theme="1"/>
      <name val="Calibri"/>
    </font>
    <font>
      <b/>
      <sz val="11.0"/>
      <color theme="1"/>
      <name val="Calibri"/>
    </font>
    <font/>
    <font>
      <sz val="11.0"/>
      <color theme="1"/>
      <name val="Calibri"/>
    </font>
    <font>
      <b/>
      <sz val="10.0"/>
      <color theme="1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D9D9D9"/>
        <bgColor rgb="FFD9D9D9"/>
      </patternFill>
    </fill>
    <fill>
      <patternFill patternType="solid">
        <fgColor rgb="FFD8D8D8"/>
        <bgColor rgb="FFD8D8D8"/>
      </patternFill>
    </fill>
    <fill>
      <patternFill patternType="solid">
        <fgColor rgb="FFE7E6E6"/>
        <bgColor rgb="FFE7E6E6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</fills>
  <borders count="4">
    <border/>
    <border>
      <left style="thin">
        <color rgb="FFD0CECE"/>
      </left>
      <bottom style="thin">
        <color rgb="FFD0CECE"/>
      </bottom>
    </border>
    <border>
      <bottom style="thin">
        <color rgb="FFD0CECE"/>
      </bottom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1" fillId="3" fontId="2" numFmtId="0" xfId="0" applyAlignment="1" applyBorder="1" applyFill="1" applyFont="1">
      <alignment horizontal="center"/>
    </xf>
    <xf borderId="0" fillId="4" fontId="3" numFmtId="0" xfId="0" applyAlignment="1" applyFill="1" applyFont="1">
      <alignment horizontal="center" shrinkToFit="0" vertical="center" wrapText="1"/>
    </xf>
    <xf borderId="2" fillId="0" fontId="4" numFmtId="0" xfId="0" applyBorder="1" applyFont="1"/>
    <xf borderId="0" fillId="0" fontId="5" numFmtId="0" xfId="0" applyAlignment="1" applyFont="1">
      <alignment shrinkToFit="0" vertical="center" wrapText="1"/>
    </xf>
    <xf borderId="3" fillId="5" fontId="6" numFmtId="0" xfId="0" applyAlignment="1" applyBorder="1" applyFill="1" applyFont="1">
      <alignment shrinkToFit="0" vertical="center" wrapText="1"/>
    </xf>
    <xf borderId="3" fillId="5" fontId="6" numFmtId="0" xfId="0" applyAlignment="1" applyBorder="1" applyFill="1" applyFont="1">
      <alignment horizontal="left" shrinkToFit="0" vertical="center" wrapText="1"/>
    </xf>
    <xf borderId="0" fillId="0" fontId="6" numFmtId="0" xfId="0" applyAlignment="1" applyFont="1">
      <alignment vertical="center"/>
    </xf>
    <xf borderId="3" fillId="0" fontId="5" numFmtId="0" xfId="0" applyAlignment="1" applyBorder="1" applyFont="1">
      <alignment shrinkToFit="0" vertical="center" wrapText="1"/>
    </xf>
    <xf borderId="3" fillId="0" fontId="5" numFmtId="164" xfId="0" applyAlignment="1" applyBorder="1" applyFont="1" applyNumberFormat="1">
      <alignment shrinkToFit="0" vertical="center" wrapText="1"/>
    </xf>
    <xf borderId="3" fillId="0" fontId="5" numFmtId="0" xfId="0" applyAlignment="1" applyBorder="1" applyFont="1">
      <alignment readingOrder="0" shrinkToFit="0" vertical="center" wrapText="1"/>
    </xf>
    <xf borderId="3" fillId="6" fontId="5" numFmtId="0" xfId="0" applyAlignment="1" applyBorder="1" applyFill="1" applyFont="1">
      <alignment shrinkToFit="0" vertical="center" wrapText="1"/>
    </xf>
    <xf borderId="3" fillId="6" fontId="5" numFmtId="164" xfId="0" applyAlignment="1" applyBorder="1" applyFill="1" applyFont="1" applyNumberFormat="1">
      <alignment shrinkToFit="0" vertical="center" wrapText="1"/>
    </xf>
    <xf borderId="3" fillId="3" fontId="5" numFmtId="0" xfId="0" applyAlignment="1" applyBorder="1" applyFill="1" applyFont="1">
      <alignment shrinkToFit="0" vertical="center" wrapText="1"/>
    </xf>
    <xf borderId="0" fillId="0" fontId="5" numFmtId="164" xfId="0" applyAlignment="1" applyFont="1" applyNumberFormat="1">
      <alignment shrinkToFit="0" vertical="center" wrapText="1"/>
    </xf>
    <xf borderId="0" fillId="2" fontId="1" numFmtId="0" xfId="0" applyAlignment="1" applyFill="1" applyFont="1">
      <alignment horizontal="center" vertical="center"/>
    </xf>
    <xf borderId="0" fillId="4" fontId="3" numFmtId="0" xfId="0" applyAlignment="1" applyFill="1" applyFont="1">
      <alignment horizontal="center" shrinkToFit="0" wrapText="1"/>
    </xf>
    <xf borderId="0" fillId="0" fontId="5" numFmtId="0" xfId="0" applyAlignment="1" applyFont="1">
      <alignment shrinkToFit="0" wrapText="1"/>
    </xf>
  </cellXfs>
  <cellStyles count="1">
    <cellStyle xfId="0" name="Normal" builtinId="0"/>
  </cellStyles>
  <dxfs count="6">
    <dxf>
      <font>
        <b/>
      </font>
      <fill>
        <patternFill patternType="solid">
          <fgColor rgb="FFF4CCCC"/>
          <bgColor rgb="FFF4CCCC"/>
        </patternFill>
      </fill>
      <border/>
    </dxf>
    <dxf>
      <font/>
      <fill>
        <patternFill patternType="solid">
          <fgColor rgb="FFFCE5CD"/>
          <bgColor rgb="FFFCE5CD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>
        <b/>
      </font>
      <fill>
        <patternFill patternType="solid">
          <fgColor rgb="FFD9EAD3"/>
          <bgColor rgb="FFD9EAD3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Estado de aprobación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Cantidad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Resumen!$D$4:$D$5</c:f>
            </c:strRef>
          </c:cat>
          <c:val>
            <c:numRef>
              <c:f>Resumen!$E$4:$E$5</c:f>
              <c:numCache/>
            </c:numRef>
          </c:val>
        </c:ser>
        <c:axId val="1768244813"/>
        <c:axId val="1971655546"/>
      </c:barChart>
      <c:catAx>
        <c:axId val="176824481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971655546"/>
      </c:catAx>
      <c:valAx>
        <c:axId val="197165554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768244813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Distribución por impacto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Cantidad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Resumen!$D$9:$D$11</c:f>
            </c:strRef>
          </c:cat>
          <c:val>
            <c:numRef>
              <c:f>Resumen!$E$9:$E$11</c:f>
              <c:numCache/>
            </c:numRef>
          </c:val>
        </c:ser>
        <c:axId val="2001159440"/>
        <c:axId val="776567078"/>
      </c:barChart>
      <c:catAx>
        <c:axId val="2001159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776567078"/>
      </c:catAx>
      <c:valAx>
        <c:axId val="77656707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001159440"/>
      </c:valAx>
    </c:plotArea>
    <c:plotVisOnly val="1"/>
  </c:chart>
</c:chartSpace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0</xdr:colOff>
      <xdr:row>2</xdr:row>
      <xdr:rowOff>0</xdr:rowOff>
    </xdr:from>
    <xdr:ext cx="4067175" cy="2800350"/>
    <xdr:graphicFrame>
      <xdr:nvGraphicFramePr>
        <xdr:cNvPr id="151374930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6</xdr:col>
      <xdr:colOff>0</xdr:colOff>
      <xdr:row>17</xdr:row>
      <xdr:rowOff>0</xdr:rowOff>
    </xdr:from>
    <xdr:ext cx="4067175" cy="2800350"/>
    <xdr:graphicFrame>
      <xdr:nvGraphicFramePr>
        <xdr:cNvPr id="1447700450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0"/>
    <col customWidth="1" min="2" max="2" width="30.0"/>
    <col customWidth="1" min="3" max="3" width="15.0"/>
    <col customWidth="1" min="4" max="4" width="18.0"/>
    <col customWidth="1" min="5" max="5" width="20.0"/>
    <col customWidth="1" min="6" max="6" width="18.0"/>
    <col customWidth="1" min="7" max="7" width="46.0"/>
    <col customWidth="1" min="8" max="9" width="20.0"/>
    <col customWidth="1" min="10" max="10" width="23.0"/>
    <col customWidth="1" min="11" max="12" width="16.0"/>
    <col customWidth="1" min="13" max="26" width="10.71"/>
  </cols>
  <sheetData>
    <row r="1" ht="14.25" customHeight="1">
      <c r="A1" s="2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ht="57.75" customHeight="1">
      <c r="A2" s="6" t="s">
        <v>13</v>
      </c>
      <c r="B2" s="7" t="s">
        <v>23</v>
      </c>
      <c r="C2" s="7" t="s">
        <v>29</v>
      </c>
      <c r="D2" s="7" t="s">
        <v>34</v>
      </c>
      <c r="E2" s="7" t="s">
        <v>37</v>
      </c>
      <c r="F2" s="7" t="s">
        <v>41</v>
      </c>
      <c r="G2" s="7" t="s">
        <v>43</v>
      </c>
      <c r="H2" s="6" t="s">
        <v>45</v>
      </c>
      <c r="I2" s="6" t="s">
        <v>48</v>
      </c>
      <c r="J2" s="6" t="s">
        <v>51</v>
      </c>
      <c r="K2" s="6" t="s">
        <v>54</v>
      </c>
      <c r="L2" s="6" t="s">
        <v>57</v>
      </c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ht="43.5" customHeight="1">
      <c r="A3" s="9" t="s">
        <v>78</v>
      </c>
      <c r="B3" s="9" t="s">
        <v>80</v>
      </c>
      <c r="C3" s="10">
        <v>46252.0</v>
      </c>
      <c r="D3" s="9" t="s">
        <v>81</v>
      </c>
      <c r="E3" s="9" t="s">
        <v>82</v>
      </c>
      <c r="F3" s="9" t="s">
        <v>83</v>
      </c>
      <c r="G3" s="9" t="s">
        <v>84</v>
      </c>
      <c r="H3" s="9" t="s">
        <v>18</v>
      </c>
      <c r="I3" s="9" t="s">
        <v>20</v>
      </c>
      <c r="J3" s="9" t="s">
        <v>85</v>
      </c>
      <c r="K3" s="11" t="s">
        <v>83</v>
      </c>
      <c r="L3" s="9" t="s">
        <v>86</v>
      </c>
    </row>
    <row r="4" ht="43.5" customHeight="1">
      <c r="A4" s="9" t="s">
        <v>87</v>
      </c>
      <c r="B4" s="9" t="s">
        <v>88</v>
      </c>
      <c r="C4" s="10">
        <v>46254.0</v>
      </c>
      <c r="D4" s="9" t="s">
        <v>89</v>
      </c>
      <c r="E4" s="9" t="s">
        <v>90</v>
      </c>
      <c r="F4" s="9" t="s">
        <v>91</v>
      </c>
      <c r="G4" s="9" t="s">
        <v>92</v>
      </c>
      <c r="H4" s="9" t="s">
        <v>18</v>
      </c>
      <c r="I4" s="9" t="s">
        <v>20</v>
      </c>
      <c r="J4" s="9" t="s">
        <v>93</v>
      </c>
      <c r="K4" s="9" t="s">
        <v>83</v>
      </c>
      <c r="L4" s="9" t="s">
        <v>86</v>
      </c>
    </row>
    <row r="5" ht="43.5" customHeight="1">
      <c r="A5" s="9" t="s">
        <v>94</v>
      </c>
      <c r="B5" s="9" t="s">
        <v>80</v>
      </c>
      <c r="C5" s="10">
        <v>46255.0</v>
      </c>
      <c r="D5" s="9" t="s">
        <v>81</v>
      </c>
      <c r="E5" s="9" t="s">
        <v>82</v>
      </c>
      <c r="F5" s="9" t="s">
        <v>91</v>
      </c>
      <c r="G5" s="9" t="s">
        <v>95</v>
      </c>
      <c r="H5" s="9" t="s">
        <v>36</v>
      </c>
      <c r="I5" s="9" t="s">
        <v>39</v>
      </c>
      <c r="J5" s="9" t="s">
        <v>85</v>
      </c>
      <c r="K5" s="9" t="s">
        <v>83</v>
      </c>
      <c r="L5" s="9" t="s">
        <v>86</v>
      </c>
    </row>
    <row r="6" ht="43.5" customHeight="1">
      <c r="A6" s="9" t="s">
        <v>96</v>
      </c>
      <c r="B6" s="9" t="s">
        <v>97</v>
      </c>
      <c r="C6" s="10">
        <v>46258.0</v>
      </c>
      <c r="D6" s="9" t="s">
        <v>89</v>
      </c>
      <c r="E6" s="9" t="s">
        <v>90</v>
      </c>
      <c r="F6" s="9" t="s">
        <v>83</v>
      </c>
      <c r="G6" s="9" t="s">
        <v>98</v>
      </c>
      <c r="H6" s="9" t="s">
        <v>36</v>
      </c>
      <c r="I6" s="9" t="s">
        <v>39</v>
      </c>
      <c r="J6" s="9" t="s">
        <v>99</v>
      </c>
      <c r="K6" s="9" t="s">
        <v>83</v>
      </c>
      <c r="L6" s="9" t="s">
        <v>86</v>
      </c>
    </row>
    <row r="7" ht="43.5" customHeight="1">
      <c r="A7" s="9" t="s">
        <v>100</v>
      </c>
      <c r="B7" s="9" t="s">
        <v>80</v>
      </c>
      <c r="C7" s="10">
        <v>46259.0</v>
      </c>
      <c r="D7" s="9" t="s">
        <v>81</v>
      </c>
      <c r="E7" s="9" t="s">
        <v>82</v>
      </c>
      <c r="F7" s="9" t="s">
        <v>83</v>
      </c>
      <c r="G7" s="9" t="s">
        <v>101</v>
      </c>
      <c r="H7" s="9" t="s">
        <v>30</v>
      </c>
      <c r="I7" s="9" t="s">
        <v>32</v>
      </c>
      <c r="J7" s="9" t="s">
        <v>85</v>
      </c>
      <c r="K7" s="9" t="s">
        <v>83</v>
      </c>
      <c r="L7" s="9" t="s">
        <v>86</v>
      </c>
    </row>
    <row r="8" ht="43.5" customHeight="1">
      <c r="A8" s="9" t="s">
        <v>102</v>
      </c>
      <c r="B8" s="9" t="s">
        <v>103</v>
      </c>
      <c r="C8" s="10">
        <v>46261.0</v>
      </c>
      <c r="D8" s="9" t="s">
        <v>89</v>
      </c>
      <c r="E8" s="9" t="s">
        <v>90</v>
      </c>
      <c r="F8" s="9" t="s">
        <v>91</v>
      </c>
      <c r="G8" s="9" t="s">
        <v>104</v>
      </c>
      <c r="H8" s="9" t="s">
        <v>30</v>
      </c>
      <c r="I8" s="9" t="s">
        <v>32</v>
      </c>
      <c r="J8" s="9" t="s">
        <v>93</v>
      </c>
      <c r="K8" s="9" t="s">
        <v>83</v>
      </c>
      <c r="L8" s="9" t="s">
        <v>86</v>
      </c>
    </row>
    <row r="9" ht="43.5" customHeight="1">
      <c r="A9" s="9" t="s">
        <v>105</v>
      </c>
      <c r="B9" s="12" t="s">
        <v>106</v>
      </c>
      <c r="C9" s="13">
        <v>46265.0</v>
      </c>
      <c r="D9" s="12" t="s">
        <v>81</v>
      </c>
      <c r="E9" s="12" t="s">
        <v>82</v>
      </c>
      <c r="F9" s="12" t="s">
        <v>91</v>
      </c>
      <c r="G9" s="12" t="s">
        <v>107</v>
      </c>
      <c r="H9" s="12" t="s">
        <v>74</v>
      </c>
      <c r="I9" s="12" t="s">
        <v>76</v>
      </c>
      <c r="J9" s="12" t="s">
        <v>93</v>
      </c>
      <c r="K9" s="14" t="s">
        <v>91</v>
      </c>
      <c r="L9" s="14" t="s">
        <v>86</v>
      </c>
    </row>
    <row r="10" ht="43.5" customHeight="1">
      <c r="A10" s="9" t="s">
        <v>108</v>
      </c>
      <c r="B10" s="5" t="s">
        <v>97</v>
      </c>
      <c r="C10" s="15">
        <v>46266.0</v>
      </c>
      <c r="D10" s="5" t="s">
        <v>89</v>
      </c>
      <c r="E10" s="5" t="s">
        <v>109</v>
      </c>
      <c r="F10" s="5" t="s">
        <v>91</v>
      </c>
      <c r="G10" s="5" t="s">
        <v>110</v>
      </c>
      <c r="H10" s="5" t="s">
        <v>74</v>
      </c>
      <c r="I10" s="5" t="s">
        <v>76</v>
      </c>
      <c r="J10" s="5" t="s">
        <v>99</v>
      </c>
      <c r="K10" s="5" t="s">
        <v>91</v>
      </c>
      <c r="L10" s="5" t="s">
        <v>86</v>
      </c>
    </row>
    <row r="11" ht="43.5" customHeight="1">
      <c r="A11" s="9" t="s">
        <v>111</v>
      </c>
      <c r="B11" s="5" t="s">
        <v>112</v>
      </c>
      <c r="C11" s="15">
        <v>46267.0</v>
      </c>
      <c r="D11" s="5" t="s">
        <v>81</v>
      </c>
      <c r="E11" s="5" t="s">
        <v>82</v>
      </c>
      <c r="F11" s="5" t="s">
        <v>83</v>
      </c>
      <c r="G11" s="5" t="s">
        <v>113</v>
      </c>
      <c r="H11" s="5" t="s">
        <v>69</v>
      </c>
      <c r="I11" s="5" t="s">
        <v>71</v>
      </c>
      <c r="J11" s="5" t="s">
        <v>93</v>
      </c>
      <c r="K11" s="5" t="s">
        <v>83</v>
      </c>
      <c r="L11" s="5" t="s">
        <v>86</v>
      </c>
    </row>
    <row r="12" ht="43.5" customHeight="1">
      <c r="A12" s="9" t="s">
        <v>114</v>
      </c>
      <c r="B12" s="5" t="s">
        <v>115</v>
      </c>
      <c r="C12" s="15">
        <v>46268.0</v>
      </c>
      <c r="D12" s="5" t="s">
        <v>89</v>
      </c>
      <c r="E12" s="5" t="s">
        <v>90</v>
      </c>
      <c r="F12" s="5" t="s">
        <v>91</v>
      </c>
      <c r="G12" s="5" t="s">
        <v>116</v>
      </c>
      <c r="H12" s="5" t="s">
        <v>24</v>
      </c>
      <c r="I12" s="5" t="s">
        <v>26</v>
      </c>
      <c r="J12" s="5" t="s">
        <v>93</v>
      </c>
      <c r="K12" s="5" t="s">
        <v>83</v>
      </c>
      <c r="L12" s="5" t="s">
        <v>86</v>
      </c>
    </row>
    <row r="13" ht="43.5" customHeight="1">
      <c r="A13" s="9" t="s">
        <v>117</v>
      </c>
      <c r="B13" s="5" t="s">
        <v>80</v>
      </c>
      <c r="C13" s="15">
        <v>46269.0</v>
      </c>
      <c r="D13" s="5" t="s">
        <v>81</v>
      </c>
      <c r="E13" s="5" t="s">
        <v>82</v>
      </c>
      <c r="F13" s="5" t="s">
        <v>83</v>
      </c>
      <c r="G13" s="5" t="s">
        <v>118</v>
      </c>
      <c r="H13" s="5" t="s">
        <v>24</v>
      </c>
      <c r="I13" s="5" t="s">
        <v>26</v>
      </c>
      <c r="J13" s="5" t="s">
        <v>93</v>
      </c>
      <c r="K13" s="5" t="s">
        <v>83</v>
      </c>
      <c r="L13" s="5" t="s">
        <v>86</v>
      </c>
    </row>
    <row r="14" ht="43.5" customHeight="1">
      <c r="A14" s="9" t="s">
        <v>119</v>
      </c>
      <c r="B14" s="5" t="s">
        <v>120</v>
      </c>
      <c r="C14" s="15">
        <v>46272.0</v>
      </c>
      <c r="D14" s="5" t="s">
        <v>89</v>
      </c>
      <c r="E14" s="5" t="s">
        <v>90</v>
      </c>
      <c r="F14" s="5" t="s">
        <v>91</v>
      </c>
      <c r="G14" s="5" t="s">
        <v>121</v>
      </c>
      <c r="H14" s="5" t="s">
        <v>52</v>
      </c>
      <c r="I14" s="5" t="s">
        <v>55</v>
      </c>
      <c r="J14" s="5" t="s">
        <v>93</v>
      </c>
      <c r="K14" s="5" t="s">
        <v>83</v>
      </c>
      <c r="L14" s="5" t="s">
        <v>86</v>
      </c>
    </row>
    <row r="15" ht="43.5" customHeight="1">
      <c r="A15" s="9" t="s">
        <v>122</v>
      </c>
      <c r="B15" s="5" t="s">
        <v>120</v>
      </c>
      <c r="C15" s="15">
        <v>46273.0</v>
      </c>
      <c r="D15" s="5" t="s">
        <v>81</v>
      </c>
      <c r="E15" s="5" t="s">
        <v>82</v>
      </c>
      <c r="F15" s="5" t="s">
        <v>83</v>
      </c>
      <c r="G15" s="5" t="s">
        <v>123</v>
      </c>
      <c r="H15" s="5" t="s">
        <v>52</v>
      </c>
      <c r="I15" s="5" t="s">
        <v>55</v>
      </c>
      <c r="J15" s="5" t="s">
        <v>93</v>
      </c>
      <c r="K15" s="5" t="s">
        <v>124</v>
      </c>
      <c r="L15" s="5" t="s">
        <v>86</v>
      </c>
    </row>
    <row r="16" ht="43.5" customHeight="1">
      <c r="A16" s="9" t="s">
        <v>125</v>
      </c>
      <c r="B16" s="5" t="s">
        <v>103</v>
      </c>
      <c r="C16" s="15">
        <v>46274.0</v>
      </c>
      <c r="D16" s="5" t="s">
        <v>89</v>
      </c>
      <c r="E16" s="5" t="s">
        <v>90</v>
      </c>
      <c r="F16" s="5" t="s">
        <v>91</v>
      </c>
      <c r="G16" s="5" t="s">
        <v>126</v>
      </c>
      <c r="H16" s="5" t="s">
        <v>44</v>
      </c>
      <c r="I16" s="5" t="s">
        <v>47</v>
      </c>
      <c r="J16" s="5" t="s">
        <v>93</v>
      </c>
      <c r="K16" s="5" t="s">
        <v>91</v>
      </c>
      <c r="L16" s="5" t="s">
        <v>86</v>
      </c>
    </row>
    <row r="17" ht="43.5" customHeight="1">
      <c r="A17" s="9" t="s">
        <v>127</v>
      </c>
      <c r="B17" s="5" t="s">
        <v>128</v>
      </c>
      <c r="C17" s="15">
        <v>46275.0</v>
      </c>
      <c r="D17" s="5" t="s">
        <v>81</v>
      </c>
      <c r="E17" s="5" t="s">
        <v>82</v>
      </c>
      <c r="F17" s="5" t="s">
        <v>91</v>
      </c>
      <c r="G17" s="5" t="s">
        <v>129</v>
      </c>
      <c r="H17" s="5" t="s">
        <v>18</v>
      </c>
      <c r="I17" s="5" t="s">
        <v>20</v>
      </c>
      <c r="J17" s="5" t="s">
        <v>85</v>
      </c>
      <c r="K17" s="5" t="s">
        <v>91</v>
      </c>
      <c r="L17" s="5" t="s">
        <v>130</v>
      </c>
    </row>
    <row r="18" ht="43.5" customHeight="1">
      <c r="A18" s="9" t="s">
        <v>131</v>
      </c>
      <c r="B18" s="5" t="s">
        <v>106</v>
      </c>
      <c r="C18" s="15">
        <v>46276.0</v>
      </c>
      <c r="D18" s="5" t="s">
        <v>81</v>
      </c>
      <c r="E18" s="5" t="s">
        <v>82</v>
      </c>
      <c r="F18" s="5" t="s">
        <v>83</v>
      </c>
      <c r="G18" s="5" t="s">
        <v>132</v>
      </c>
      <c r="H18" s="5" t="s">
        <v>36</v>
      </c>
      <c r="I18" s="5" t="s">
        <v>39</v>
      </c>
      <c r="J18" s="5" t="s">
        <v>85</v>
      </c>
      <c r="K18" s="5" t="s">
        <v>91</v>
      </c>
      <c r="L18" s="5" t="s">
        <v>130</v>
      </c>
    </row>
    <row r="19" ht="43.5" customHeight="1">
      <c r="A19" s="9" t="s">
        <v>133</v>
      </c>
      <c r="B19" s="5" t="s">
        <v>97</v>
      </c>
      <c r="C19" s="15">
        <v>46279.0</v>
      </c>
      <c r="D19" s="5" t="s">
        <v>89</v>
      </c>
      <c r="E19" s="5" t="s">
        <v>109</v>
      </c>
      <c r="F19" s="5" t="s">
        <v>91</v>
      </c>
      <c r="G19" s="5" t="s">
        <v>134</v>
      </c>
      <c r="H19" s="5" t="s">
        <v>59</v>
      </c>
      <c r="I19" s="5" t="s">
        <v>61</v>
      </c>
      <c r="J19" s="5" t="s">
        <v>99</v>
      </c>
      <c r="K19" s="5" t="s">
        <v>91</v>
      </c>
      <c r="L19" s="5" t="s">
        <v>86</v>
      </c>
    </row>
    <row r="20" ht="43.5" customHeight="1">
      <c r="A20" s="9" t="s">
        <v>135</v>
      </c>
      <c r="B20" s="5" t="s">
        <v>115</v>
      </c>
      <c r="C20" s="15">
        <v>46280.0</v>
      </c>
      <c r="D20" s="5" t="s">
        <v>89</v>
      </c>
      <c r="E20" s="5" t="s">
        <v>90</v>
      </c>
      <c r="F20" s="5" t="s">
        <v>91</v>
      </c>
      <c r="G20" s="5" t="s">
        <v>136</v>
      </c>
      <c r="H20" s="5" t="s">
        <v>59</v>
      </c>
      <c r="I20" s="5" t="s">
        <v>61</v>
      </c>
      <c r="J20" s="5" t="s">
        <v>93</v>
      </c>
      <c r="K20" s="5" t="s">
        <v>91</v>
      </c>
      <c r="L20" s="5" t="s">
        <v>86</v>
      </c>
    </row>
    <row r="21" ht="43.5" customHeight="1">
      <c r="A21" s="9" t="s">
        <v>137</v>
      </c>
      <c r="B21" s="5" t="s">
        <v>80</v>
      </c>
      <c r="C21" s="15">
        <v>46281.0</v>
      </c>
      <c r="D21" s="5" t="s">
        <v>81</v>
      </c>
      <c r="E21" s="5" t="s">
        <v>90</v>
      </c>
      <c r="F21" s="5" t="s">
        <v>91</v>
      </c>
      <c r="G21" s="5" t="s">
        <v>138</v>
      </c>
      <c r="H21" s="5" t="s">
        <v>59</v>
      </c>
      <c r="I21" s="5" t="s">
        <v>61</v>
      </c>
      <c r="J21" s="5" t="s">
        <v>85</v>
      </c>
      <c r="K21" s="5" t="s">
        <v>91</v>
      </c>
      <c r="L21" s="5" t="s">
        <v>130</v>
      </c>
    </row>
    <row r="22" ht="43.5" customHeight="1">
      <c r="A22" s="9" t="s">
        <v>139</v>
      </c>
      <c r="B22" s="5" t="s">
        <v>112</v>
      </c>
      <c r="C22" s="15">
        <v>46281.0</v>
      </c>
      <c r="D22" s="5" t="s">
        <v>81</v>
      </c>
      <c r="E22" s="5" t="s">
        <v>90</v>
      </c>
      <c r="F22" s="5" t="s">
        <v>91</v>
      </c>
      <c r="G22" s="5" t="s">
        <v>140</v>
      </c>
      <c r="H22" s="5" t="s">
        <v>64</v>
      </c>
      <c r="I22" s="5" t="s">
        <v>66</v>
      </c>
      <c r="J22" s="5" t="s">
        <v>93</v>
      </c>
      <c r="K22" s="5" t="s">
        <v>91</v>
      </c>
      <c r="L22" s="5" t="s">
        <v>86</v>
      </c>
    </row>
    <row r="23" ht="43.5" customHeight="1">
      <c r="A23" s="9" t="s">
        <v>141</v>
      </c>
      <c r="B23" s="5" t="s">
        <v>97</v>
      </c>
      <c r="C23" s="15">
        <v>46282.0</v>
      </c>
      <c r="D23" s="5" t="s">
        <v>89</v>
      </c>
      <c r="E23" s="5" t="s">
        <v>82</v>
      </c>
      <c r="F23" s="5" t="s">
        <v>83</v>
      </c>
      <c r="G23" s="5" t="s">
        <v>142</v>
      </c>
      <c r="H23" s="5" t="s">
        <v>12</v>
      </c>
      <c r="I23" s="5" t="s">
        <v>15</v>
      </c>
      <c r="J23" s="5" t="s">
        <v>99</v>
      </c>
      <c r="K23" s="5" t="s">
        <v>83</v>
      </c>
      <c r="L23" s="5" t="s">
        <v>86</v>
      </c>
    </row>
    <row r="24" ht="43.5" customHeight="1">
      <c r="A24" s="9" t="s">
        <v>143</v>
      </c>
      <c r="B24" s="5" t="s">
        <v>112</v>
      </c>
      <c r="C24" s="15">
        <v>46283.0</v>
      </c>
      <c r="D24" s="5" t="s">
        <v>81</v>
      </c>
      <c r="E24" s="5" t="s">
        <v>90</v>
      </c>
      <c r="F24" s="5" t="s">
        <v>91</v>
      </c>
      <c r="G24" s="5" t="s">
        <v>144</v>
      </c>
      <c r="H24" s="5" t="s">
        <v>74</v>
      </c>
      <c r="I24" s="5" t="s">
        <v>76</v>
      </c>
      <c r="J24" s="5" t="s">
        <v>85</v>
      </c>
      <c r="K24" s="5" t="s">
        <v>91</v>
      </c>
      <c r="L24" s="5" t="s">
        <v>86</v>
      </c>
    </row>
    <row r="25" ht="43.5" customHeight="1">
      <c r="A25" s="9" t="s">
        <v>145</v>
      </c>
      <c r="B25" s="5" t="s">
        <v>146</v>
      </c>
      <c r="C25" s="15">
        <v>46286.0</v>
      </c>
      <c r="D25" s="5" t="s">
        <v>89</v>
      </c>
      <c r="E25" s="5" t="s">
        <v>82</v>
      </c>
      <c r="F25" s="5" t="s">
        <v>83</v>
      </c>
      <c r="G25" s="5" t="s">
        <v>147</v>
      </c>
      <c r="H25" s="5" t="s">
        <v>64</v>
      </c>
      <c r="I25" s="5" t="s">
        <v>66</v>
      </c>
      <c r="J25" s="5" t="s">
        <v>99</v>
      </c>
      <c r="K25" s="5" t="s">
        <v>83</v>
      </c>
      <c r="L25" s="5" t="s">
        <v>86</v>
      </c>
    </row>
    <row r="26" ht="43.5" customHeight="1">
      <c r="A26" s="9" t="s">
        <v>148</v>
      </c>
      <c r="B26" s="5" t="s">
        <v>112</v>
      </c>
      <c r="C26" s="15">
        <v>46286.0</v>
      </c>
      <c r="D26" s="5" t="s">
        <v>81</v>
      </c>
      <c r="E26" s="5" t="s">
        <v>82</v>
      </c>
      <c r="F26" s="5" t="s">
        <v>83</v>
      </c>
      <c r="G26" s="5" t="s">
        <v>149</v>
      </c>
      <c r="H26" s="5" t="s">
        <v>64</v>
      </c>
      <c r="I26" s="5" t="s">
        <v>66</v>
      </c>
      <c r="J26" s="5" t="s">
        <v>150</v>
      </c>
      <c r="K26" s="5" t="s">
        <v>83</v>
      </c>
      <c r="L26" s="5" t="s">
        <v>86</v>
      </c>
    </row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">
    <mergeCell ref="A1:L1"/>
  </mergeCells>
  <conditionalFormatting sqref="E3:E26">
    <cfRule type="expression" dxfId="0" priority="1">
      <formula>E3="Crítico"</formula>
    </cfRule>
  </conditionalFormatting>
  <conditionalFormatting sqref="E3:E26">
    <cfRule type="expression" dxfId="1" priority="2">
      <formula>E3="Urgente"</formula>
    </cfRule>
  </conditionalFormatting>
  <conditionalFormatting sqref="E3:E26">
    <cfRule type="expression" dxfId="2" priority="3">
      <formula>E3="Necesario"</formula>
    </cfRule>
  </conditionalFormatting>
  <conditionalFormatting sqref="F3:F26">
    <cfRule type="expression" dxfId="3" priority="4">
      <formula>F3="Alto"</formula>
    </cfRule>
  </conditionalFormatting>
  <conditionalFormatting sqref="F3:F26">
    <cfRule type="expression" dxfId="4" priority="5">
      <formula>F3="Medio"</formula>
    </cfRule>
  </conditionalFormatting>
  <conditionalFormatting sqref="F3:F26">
    <cfRule type="expression" dxfId="2" priority="6">
      <formula>F3="Bajo"</formula>
    </cfRule>
  </conditionalFormatting>
  <conditionalFormatting sqref="K3:K26">
    <cfRule type="expression" dxfId="3" priority="7">
      <formula>K3="Alto"</formula>
    </cfRule>
  </conditionalFormatting>
  <conditionalFormatting sqref="K3:K26">
    <cfRule type="expression" dxfId="4" priority="8">
      <formula>K3="Medio"</formula>
    </cfRule>
  </conditionalFormatting>
  <conditionalFormatting sqref="K3:K26">
    <cfRule type="expression" dxfId="2" priority="9">
      <formula>K3="Bajo"</formula>
    </cfRule>
  </conditionalFormatting>
  <conditionalFormatting sqref="L3:L26">
    <cfRule type="expression" dxfId="5" priority="10">
      <formula>L3="Aceptado"</formula>
    </cfRule>
  </conditionalFormatting>
  <conditionalFormatting sqref="L3:L26">
    <cfRule type="expression" dxfId="0" priority="11">
      <formula>L3="Rechazado"</formula>
    </cfRule>
  </conditionalFormatting>
  <dataValidations>
    <dataValidation type="list" allowBlank="1" sqref="D3:D26">
      <formula1>"SC,C"</formula1>
    </dataValidation>
    <dataValidation type="list" allowBlank="1" sqref="J3:J26">
      <formula1>"Planificación,Análisis y diseño,Desarrollo,Pruebas y QA,Implementación y cierre"</formula1>
    </dataValidation>
    <dataValidation type="list" allowBlank="1" sqref="L3:L26">
      <formula1>"Aceptado,Rechazado"</formula1>
    </dataValidation>
    <dataValidation type="list" allowBlank="1" sqref="F3:F26 K3:K26">
      <formula1>"Alto,Medio,Bajo"</formula1>
    </dataValidation>
    <dataValidation type="list" allowBlank="1" sqref="E3:E26">
      <formula1>"Crítico,Urgente,Necesario"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0"/>
    <col customWidth="1" min="2" max="2" width="38.0"/>
    <col customWidth="1" min="3" max="3" width="10.0"/>
    <col customWidth="1" min="4" max="4" width="34.0"/>
    <col customWidth="1" min="5" max="5" width="48.0"/>
    <col customWidth="1" min="6" max="26" width="8.71"/>
  </cols>
  <sheetData>
    <row r="1">
      <c r="A1" s="1" t="s">
        <v>1</v>
      </c>
    </row>
    <row r="2" ht="36.0" customHeight="1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</row>
    <row r="3" ht="36.0" customHeight="1">
      <c r="A3" s="5" t="s">
        <v>7</v>
      </c>
      <c r="B3" s="5" t="s">
        <v>8</v>
      </c>
      <c r="C3" s="5" t="s">
        <v>9</v>
      </c>
      <c r="D3" s="5" t="s">
        <v>10</v>
      </c>
      <c r="E3" s="5" t="s">
        <v>11</v>
      </c>
    </row>
    <row r="4" ht="36.0" customHeight="1">
      <c r="A4" s="5" t="s">
        <v>12</v>
      </c>
      <c r="B4" s="5" t="s">
        <v>14</v>
      </c>
      <c r="C4" s="5" t="s">
        <v>15</v>
      </c>
      <c r="D4" s="5" t="s">
        <v>16</v>
      </c>
      <c r="E4" s="5" t="s">
        <v>17</v>
      </c>
    </row>
    <row r="5" ht="36.0" customHeight="1">
      <c r="A5" s="5" t="s">
        <v>18</v>
      </c>
      <c r="B5" s="5" t="s">
        <v>19</v>
      </c>
      <c r="C5" s="5" t="s">
        <v>20</v>
      </c>
      <c r="D5" s="5" t="s">
        <v>21</v>
      </c>
      <c r="E5" s="5" t="s">
        <v>22</v>
      </c>
    </row>
    <row r="6" ht="36.0" customHeight="1">
      <c r="A6" s="5" t="s">
        <v>24</v>
      </c>
      <c r="B6" s="5" t="s">
        <v>25</v>
      </c>
      <c r="C6" s="5" t="s">
        <v>26</v>
      </c>
      <c r="D6" s="5" t="s">
        <v>27</v>
      </c>
      <c r="E6" s="5" t="s">
        <v>28</v>
      </c>
    </row>
    <row r="7" ht="36.0" customHeight="1">
      <c r="A7" s="5" t="s">
        <v>30</v>
      </c>
      <c r="B7" s="5" t="s">
        <v>31</v>
      </c>
      <c r="C7" s="5" t="s">
        <v>32</v>
      </c>
      <c r="D7" s="5" t="s">
        <v>33</v>
      </c>
      <c r="E7" s="5" t="s">
        <v>35</v>
      </c>
    </row>
    <row r="8" ht="36.0" customHeight="1">
      <c r="A8" s="5" t="s">
        <v>36</v>
      </c>
      <c r="B8" s="5" t="s">
        <v>38</v>
      </c>
      <c r="C8" s="5" t="s">
        <v>39</v>
      </c>
      <c r="D8" s="5" t="s">
        <v>40</v>
      </c>
      <c r="E8" s="5" t="s">
        <v>42</v>
      </c>
    </row>
    <row r="9" ht="36.0" customHeight="1">
      <c r="A9" s="5" t="s">
        <v>44</v>
      </c>
      <c r="B9" s="5" t="s">
        <v>46</v>
      </c>
      <c r="C9" s="5" t="s">
        <v>47</v>
      </c>
      <c r="D9" s="5" t="s">
        <v>49</v>
      </c>
      <c r="E9" s="5" t="s">
        <v>50</v>
      </c>
    </row>
    <row r="10" ht="36.0" customHeight="1">
      <c r="A10" s="5" t="s">
        <v>52</v>
      </c>
      <c r="B10" s="5" t="s">
        <v>53</v>
      </c>
      <c r="C10" s="5" t="s">
        <v>55</v>
      </c>
      <c r="D10" s="5" t="s">
        <v>56</v>
      </c>
      <c r="E10" s="5" t="s">
        <v>58</v>
      </c>
    </row>
    <row r="11" ht="36.0" customHeight="1">
      <c r="A11" s="5" t="s">
        <v>59</v>
      </c>
      <c r="B11" s="5" t="s">
        <v>60</v>
      </c>
      <c r="C11" s="5" t="s">
        <v>61</v>
      </c>
      <c r="D11" s="5" t="s">
        <v>62</v>
      </c>
      <c r="E11" s="5" t="s">
        <v>63</v>
      </c>
    </row>
    <row r="12" ht="36.0" customHeight="1">
      <c r="A12" s="5" t="s">
        <v>64</v>
      </c>
      <c r="B12" s="5" t="s">
        <v>65</v>
      </c>
      <c r="C12" s="5" t="s">
        <v>66</v>
      </c>
      <c r="D12" s="5" t="s">
        <v>67</v>
      </c>
      <c r="E12" s="5" t="s">
        <v>68</v>
      </c>
    </row>
    <row r="13" ht="36.0" customHeight="1">
      <c r="A13" s="5" t="s">
        <v>69</v>
      </c>
      <c r="B13" s="5" t="s">
        <v>70</v>
      </c>
      <c r="C13" s="5" t="s">
        <v>71</v>
      </c>
      <c r="D13" s="5" t="s">
        <v>72</v>
      </c>
      <c r="E13" s="5" t="s">
        <v>73</v>
      </c>
    </row>
    <row r="14" ht="36.0" customHeight="1">
      <c r="A14" s="5" t="s">
        <v>74</v>
      </c>
      <c r="B14" s="5" t="s">
        <v>75</v>
      </c>
      <c r="C14" s="5" t="s">
        <v>76</v>
      </c>
      <c r="D14" s="5" t="s">
        <v>77</v>
      </c>
      <c r="E14" s="5" t="s">
        <v>79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0"/>
    <col customWidth="1" min="2" max="2" width="12.0"/>
    <col customWidth="1" min="3" max="3" width="8.71"/>
    <col customWidth="1" min="4" max="4" width="18.0"/>
    <col customWidth="1" min="5" max="5" width="12.0"/>
    <col customWidth="1" min="6" max="26" width="8.71"/>
  </cols>
  <sheetData>
    <row r="1">
      <c r="A1" s="16" t="s">
        <v>151</v>
      </c>
    </row>
    <row r="3">
      <c r="A3" s="17" t="s">
        <v>152</v>
      </c>
      <c r="B3" s="17" t="s">
        <v>153</v>
      </c>
      <c r="C3" s="18"/>
      <c r="D3" s="17" t="s">
        <v>154</v>
      </c>
      <c r="E3" s="17" t="s">
        <v>153</v>
      </c>
    </row>
    <row r="4">
      <c r="A4" s="18" t="s">
        <v>155</v>
      </c>
      <c r="B4" s="18">
        <f>COUNTA(Hoja1!A3:A26)</f>
        <v>24</v>
      </c>
      <c r="C4" s="18"/>
      <c r="D4" s="18" t="s">
        <v>86</v>
      </c>
      <c r="E4" s="18">
        <f>COUNTIF(Hoja1!L3:L26,"Aceptado")</f>
        <v>21</v>
      </c>
    </row>
    <row r="5">
      <c r="A5" s="18" t="s">
        <v>156</v>
      </c>
      <c r="B5" s="18">
        <f>COUNTIF(Hoja1!L3:L26,"Aceptado")</f>
        <v>21</v>
      </c>
      <c r="C5" s="18"/>
      <c r="D5" s="18" t="s">
        <v>130</v>
      </c>
      <c r="E5" s="18">
        <f>COUNTIF(Hoja1!L3:L26,"Rechazado")</f>
        <v>3</v>
      </c>
    </row>
    <row r="6">
      <c r="A6" s="18" t="s">
        <v>157</v>
      </c>
      <c r="B6" s="18">
        <f>COUNTIF(Hoja1!L3:L26,"Rechazado")</f>
        <v>3</v>
      </c>
      <c r="C6" s="18"/>
      <c r="D6" s="18"/>
      <c r="E6" s="18"/>
    </row>
    <row r="7">
      <c r="A7" s="18" t="s">
        <v>158</v>
      </c>
      <c r="B7" s="18">
        <f>COUNTIF(Hoja1!D3:D26,"SC")</f>
        <v>13</v>
      </c>
      <c r="C7" s="18"/>
      <c r="D7" s="18"/>
      <c r="E7" s="18"/>
    </row>
    <row r="8">
      <c r="A8" s="18" t="s">
        <v>159</v>
      </c>
      <c r="B8" s="18">
        <f>COUNTIF(Hoja1!D3:D26,"C")</f>
        <v>11</v>
      </c>
      <c r="C8" s="18"/>
      <c r="D8" s="17" t="s">
        <v>160</v>
      </c>
      <c r="E8" s="17" t="s">
        <v>153</v>
      </c>
    </row>
    <row r="9">
      <c r="A9" s="18" t="s">
        <v>161</v>
      </c>
      <c r="B9" s="18">
        <f>COUNTIF(Hoja1!K3:K26,"Alto")</f>
        <v>10</v>
      </c>
      <c r="C9" s="18"/>
      <c r="D9" s="18" t="s">
        <v>91</v>
      </c>
      <c r="E9" s="18">
        <f>COUNTIF(Hoja1!K3:K26,"Alto")</f>
        <v>10</v>
      </c>
    </row>
    <row r="10">
      <c r="A10" s="18" t="s">
        <v>162</v>
      </c>
      <c r="B10" s="18">
        <f>COUNTIF(Hoja1!K3:K26,"Medio")</f>
        <v>13</v>
      </c>
      <c r="C10" s="18"/>
      <c r="D10" s="18" t="s">
        <v>83</v>
      </c>
      <c r="E10" s="18">
        <f>COUNTIF(Hoja1!K3:K26,"Medio")</f>
        <v>13</v>
      </c>
    </row>
    <row r="11">
      <c r="A11" s="18" t="s">
        <v>163</v>
      </c>
      <c r="B11" s="18">
        <f>COUNTIF(Hoja1!K3:K26,"Bajo")</f>
        <v>1</v>
      </c>
      <c r="C11" s="18"/>
      <c r="D11" s="18" t="s">
        <v>124</v>
      </c>
      <c r="E11" s="18">
        <f>COUNTIF(Hoja1!K3:K26,"Bajo")</f>
        <v>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