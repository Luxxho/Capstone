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Resumen" sheetId="2" r:id="rId5"/>
  </sheets>
  <definedNames>
    <definedName hidden="1" localSheetId="0" name="_xlnm._FilterDatabase">Backlog!$A$4:$D$55</definedName>
  </definedNames>
  <calcPr/>
  <extLst>
    <ext uri="GoogleSheetsCustomDataVersion2">
      <go:sheetsCustomData xmlns:go="http://customooxmlschemas.google.com/" r:id="rId6" roundtripDataChecksum="//x9Nr58odaHbvL3E/Xu6QIkDyPYf0BPn2hJpsWf0xw="/>
    </ext>
  </extLst>
</workbook>
</file>

<file path=xl/sharedStrings.xml><?xml version="1.0" encoding="utf-8"?>
<sst xmlns="http://schemas.openxmlformats.org/spreadsheetml/2006/main" count="228" uniqueCount="122">
  <si>
    <t>Resumen del backlog</t>
  </si>
  <si>
    <t>Product Backlog – VetMap</t>
  </si>
  <si>
    <t>Épica</t>
  </si>
  <si>
    <t>ID</t>
  </si>
  <si>
    <t>Historias</t>
  </si>
  <si>
    <t>Cuenta y acceso</t>
  </si>
  <si>
    <t>Historia de usuario</t>
  </si>
  <si>
    <t>Prioridad</t>
  </si>
  <si>
    <t>HU-01</t>
  </si>
  <si>
    <t>Como usuario nuevo, quiero registrarme en VetMap para tener una cuenta y usar la plataforma.</t>
  </si>
  <si>
    <t>Alta</t>
  </si>
  <si>
    <t>HU-02</t>
  </si>
  <si>
    <t>Como usuario registrado, quiero iniciar sesión con mi correo y contraseña para acceder a mis datos de forma segura.</t>
  </si>
  <si>
    <t>HU-03</t>
  </si>
  <si>
    <t>Como usuario registrado, quiero editar mi perfil para mantener mis datos actualizados.</t>
  </si>
  <si>
    <t>Media</t>
  </si>
  <si>
    <t>HU-04</t>
  </si>
  <si>
    <t>Mascotas e historial</t>
  </si>
  <si>
    <t>Como dueño de mascota, quiero registrar a mi mascota con nombre, especie, raza, edad y foto para tener su perfil en un solo lugar.</t>
  </si>
  <si>
    <t>HU-05</t>
  </si>
  <si>
    <t>Como dueño de mascota, quiero editar la información de mi mascota para mantener sus datos al día.</t>
  </si>
  <si>
    <t>HU-06</t>
  </si>
  <si>
    <t>Como dueño de mascota, quiero registrar las vacunas de mi mascota para llevar el control de su calendario de vacunación.</t>
  </si>
  <si>
    <t>HU-07</t>
  </si>
  <si>
    <t>Como dueño de mascota, quiero registrar los medicamentos de mi mascota para recordar qué tratamiento está recibiendo.</t>
  </si>
  <si>
    <t>HU-08</t>
  </si>
  <si>
    <t>Como dueño de mascota, quiero registrar el peso de mi mascota cada cierto tiempo para ver cómo evoluciona.</t>
  </si>
  <si>
    <t>HU-09</t>
  </si>
  <si>
    <t>Como dueño de mascota, quiero registrar la alimentación de mi mascota para llevar control de lo que come.</t>
  </si>
  <si>
    <t>HU-10</t>
  </si>
  <si>
    <t>Como dueño de mascota, quiero registrar los controles veterinarios para tener un historial de sus atenciones.</t>
  </si>
  <si>
    <t>HU-11</t>
  </si>
  <si>
    <t>Como dueño de mascota, quiero consultar el historial completo de mi mascota para ver todos sus antecedentes en un solo lugar.</t>
  </si>
  <si>
    <t>HU-12</t>
  </si>
  <si>
    <t>Como dueño de mascota, quiero recibir recordatorios de vacunas y controles para no olvidar las fechas importantes.</t>
  </si>
  <si>
    <t>HU-13</t>
  </si>
  <si>
    <t>Comparador de productos</t>
  </si>
  <si>
    <t>Como dueño de mascota, quiero buscar un producto (ej. alimento para perro adulto 15 kg) para encontrar en qué tiendas lo venden.</t>
  </si>
  <si>
    <t>HU-14</t>
  </si>
  <si>
    <t>Como dueño de mascota, quiero comparar precio, stock, marca y formato entre tiendas para elegir la mejor opción.</t>
  </si>
  <si>
    <t>HU-15</t>
  </si>
  <si>
    <t>Como dueño de mascota, quiero ver si un producto está disponible en una tienda para no ir a una que no tiene stock.</t>
  </si>
  <si>
    <t>HU-16</t>
  </si>
  <si>
    <t>Como dueño de mascota, quiero ver el historial de precios de un producto para saber si el precio actual es conveniente.</t>
  </si>
  <si>
    <t>HU-17</t>
  </si>
  <si>
    <t>Como dueño de mascota, quiero configurar una alerta de precio para recibir un aviso cuando el producto baje del valor que quiero.</t>
  </si>
  <si>
    <t>Veterinarias y horas</t>
  </si>
  <si>
    <t>HU-18</t>
  </si>
  <si>
    <t>Como dueño de mascota, quiero continuar mi compra en el canal de la tienda para finalizar la compra del producto elegido.</t>
  </si>
  <si>
    <t>HU-19</t>
  </si>
  <si>
    <t>Como dueño de mascota, quiero encontrar veterinarias y tiendas cercanas para ir a la que me quede más conveniente.</t>
  </si>
  <si>
    <t>HU-20</t>
  </si>
  <si>
    <t>Como dueño de mascota, quiero ver los servicios que ofrece una clínica para saber qué atención puedo solicitar.</t>
  </si>
  <si>
    <t>Gestión de clínica veterinaria</t>
  </si>
  <si>
    <t>HU-21</t>
  </si>
  <si>
    <t>Como dueño de mascota, quiero solicitar una hora veterinaria para mi mascota para agendar la atención sin tener que llamar.</t>
  </si>
  <si>
    <t>HU-22</t>
  </si>
  <si>
    <t>Como dueño de mascota, quiero cancelar una hora agendada para liberar el horario si no puedo asistir.</t>
  </si>
  <si>
    <t>HU-23</t>
  </si>
  <si>
    <t>Gestión de tienda veterinaria</t>
  </si>
  <si>
    <t>Como clínica veterinaria, quiero registrar a mis pacientes para tener ordenados a todos los animales que atiendo.</t>
  </si>
  <si>
    <t>HU-24</t>
  </si>
  <si>
    <t>Como veterinario, quiero crear la ficha médica de un paciente para tener su historial clínico disponible.</t>
  </si>
  <si>
    <t>HU-25</t>
  </si>
  <si>
    <t>Como veterinario, quiero registrar la consulta, el diagnóstico y el tratamiento para dejar constancia de cada atención realizada.</t>
  </si>
  <si>
    <t>HU-26</t>
  </si>
  <si>
    <t>Pedidos y despachos</t>
  </si>
  <si>
    <t>Como veterinario, quiero emitir recetas para entregar al dueño las indicaciones de medicamentos.</t>
  </si>
  <si>
    <t>HU-27</t>
  </si>
  <si>
    <t>Como clínica veterinaria, quiero configurar mis días y horarios disponibles para que los dueños puedan reservar horas.</t>
  </si>
  <si>
    <t>HU-28</t>
  </si>
  <si>
    <t>Como clínica veterinaria, quiero ver y gestionar mi agenda para organizar las atenciones del día.</t>
  </si>
  <si>
    <t>HU-29</t>
  </si>
  <si>
    <t>Como clínica veterinaria, quiero administrar a los veterinarios de mi clínica para mantener actualizado mi equipo de trabajo.</t>
  </si>
  <si>
    <t>Alertas inteligentes</t>
  </si>
  <si>
    <t>HU-30</t>
  </si>
  <si>
    <t>Como clínica veterinaria, quiero ver estadísticas de atención para tomar decisiones sobre mi operación.</t>
  </si>
  <si>
    <t>Baja</t>
  </si>
  <si>
    <t>HU-31</t>
  </si>
  <si>
    <t>Como tienda veterinaria, quiero administrar mi catálogo de productos con fotos para que los dueños vean lo que vendo.</t>
  </si>
  <si>
    <t>HU-32</t>
  </si>
  <si>
    <t>Como tienda veterinaria, quiero actualizar los precios de mis productos para que el comparador muestre valores reales.</t>
  </si>
  <si>
    <t>Administración y reportes</t>
  </si>
  <si>
    <t>HU-33</t>
  </si>
  <si>
    <t>Como tienda veterinaria, quiero actualizar el stock de mis productos para informar qué tengo disponible.</t>
  </si>
  <si>
    <t>Total</t>
  </si>
  <si>
    <t>HU-34</t>
  </si>
  <si>
    <t>Como tienda veterinaria, quiero ver y gestionar los pedidos que recibo para atender las compras de mis clientes.</t>
  </si>
  <si>
    <t>HU-35</t>
  </si>
  <si>
    <t>Como tienda veterinaria, quiero marcar un pedido como preparado para avisar que está listo para ser despachado.</t>
  </si>
  <si>
    <t>HU-36</t>
  </si>
  <si>
    <t>Como tienda veterinaria, quiero asignar un repartidor a un pedido para que alguien se encargue de llevarlo.</t>
  </si>
  <si>
    <t>HU-37</t>
  </si>
  <si>
    <t>Como repartidor, quiero ver los pedidos que tengo asignados para saber qué debo entregar.</t>
  </si>
  <si>
    <t>HU-38</t>
  </si>
  <si>
    <t>Como repartidor, quiero actualizar el estado del despacho para informar en qué etapa va la entrega.</t>
  </si>
  <si>
    <t>HU-39</t>
  </si>
  <si>
    <t>Como repartidor, quiero registrar incidencias durante el despacho para dejar constancia de cualquier problema.</t>
  </si>
  <si>
    <t>HU-40</t>
  </si>
  <si>
    <t>Como repartidor, quiero adjuntar una foto al entregar el pedido para tener evidencia de que la entrega se realizó.</t>
  </si>
  <si>
    <t>HU-41</t>
  </si>
  <si>
    <t>Como tienda veterinaria, quiero comparar la ruta planificada con la ruta recorrida para detectar posibles desviaciones.</t>
  </si>
  <si>
    <t>HU-42</t>
  </si>
  <si>
    <t>Como tienda veterinaria, quiero recibir un aviso cuando un despacho se atrasa para actuar a tiempo.</t>
  </si>
  <si>
    <t>HU-43</t>
  </si>
  <si>
    <t>Como tienda veterinaria, quiero revisar el historial y la evidencia de un despacho para responder ante un reclamo del cliente.</t>
  </si>
  <si>
    <t>HU-44</t>
  </si>
  <si>
    <t>Como dueño de mascota, quiero seguir el estado de mi pedido para saber cuándo me va a llegar.</t>
  </si>
  <si>
    <t>HU-45</t>
  </si>
  <si>
    <t>Como dueño de mascota, quiero recibir una alerta cuando el peso de mi mascota cambie mucho para consultar a un veterinario a tiempo.</t>
  </si>
  <si>
    <t>HU-46</t>
  </si>
  <si>
    <t>Como dueño de mascota, quiero ver todas mis notificaciones en un solo lugar para no perderme ninguna alerta ni recordatorio.</t>
  </si>
  <si>
    <t>HU-47</t>
  </si>
  <si>
    <t>Como administrador, quiero gestionar los usuarios de la plataforma para controlar quién usa VetMap.</t>
  </si>
  <si>
    <t>HU-48</t>
  </si>
  <si>
    <t>Como administrador, quiero gestionar las tiendas y clínicas registradas para mantener solo establecimientos autorizados.</t>
  </si>
  <si>
    <t>HU-49</t>
  </si>
  <si>
    <t>Como administrador, quiero supervisar productos, pedidos y despachos para detectar problemas en la operación.</t>
  </si>
  <si>
    <t>HU-50</t>
  </si>
  <si>
    <t>Como administrador, quiero generar reportes e indicadores para apoyar la toma de decisiones.</t>
  </si>
  <si>
    <t>HU-51</t>
  </si>
  <si>
    <t>Como administrador, quiero revisar el registro de actividad del sistema para tener trazabilidad de lo que ocurre.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</si>
</sst>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9.0"/>
      <color rgb="FF595959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1" fillId="0" fontId="4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/>
    </xf>
    <xf borderId="1" fillId="0" fontId="5" numFmtId="0" xfId="0" applyBorder="1" applyFont="1"/>
    <xf borderId="1" fillId="0" fontId="5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30.0"/>
    <col customWidth="1" min="3" max="3" width="105.0"/>
    <col customWidth="1" min="4" max="4" width="12.0"/>
    <col customWidth="1" min="5" max="26" width="8.71"/>
  </cols>
  <sheetData>
    <row r="1">
      <c r="A1" s="1" t="s">
        <v>1</v>
      </c>
    </row>
    <row r="2">
      <c r="A2" s="2"/>
    </row>
    <row r="4" ht="24.0" customHeight="1">
      <c r="A4" s="4" t="s">
        <v>3</v>
      </c>
      <c r="B4" s="4" t="s">
        <v>2</v>
      </c>
      <c r="C4" s="4" t="s">
        <v>6</v>
      </c>
      <c r="D4" s="4" t="s">
        <v>7</v>
      </c>
    </row>
    <row r="5" ht="33.75" customHeight="1">
      <c r="A5" s="6" t="s">
        <v>8</v>
      </c>
      <c r="B5" s="7" t="s">
        <v>5</v>
      </c>
      <c r="C5" s="7" t="s">
        <v>9</v>
      </c>
      <c r="D5" s="6" t="s">
        <v>10</v>
      </c>
    </row>
    <row r="6" ht="33.75" customHeight="1">
      <c r="A6" s="6" t="s">
        <v>11</v>
      </c>
      <c r="B6" s="7" t="s">
        <v>5</v>
      </c>
      <c r="C6" s="7" t="s">
        <v>12</v>
      </c>
      <c r="D6" s="6" t="s">
        <v>10</v>
      </c>
    </row>
    <row r="7" ht="33.75" customHeight="1">
      <c r="A7" s="6" t="s">
        <v>13</v>
      </c>
      <c r="B7" s="7" t="s">
        <v>5</v>
      </c>
      <c r="C7" s="7" t="s">
        <v>14</v>
      </c>
      <c r="D7" s="6" t="s">
        <v>15</v>
      </c>
    </row>
    <row r="8" ht="33.75" customHeight="1">
      <c r="A8" s="6" t="s">
        <v>16</v>
      </c>
      <c r="B8" s="7" t="s">
        <v>17</v>
      </c>
      <c r="C8" s="7" t="s">
        <v>18</v>
      </c>
      <c r="D8" s="6" t="s">
        <v>10</v>
      </c>
    </row>
    <row r="9" ht="33.75" customHeight="1">
      <c r="A9" s="6" t="s">
        <v>19</v>
      </c>
      <c r="B9" s="7" t="s">
        <v>17</v>
      </c>
      <c r="C9" s="7" t="s">
        <v>20</v>
      </c>
      <c r="D9" s="6" t="s">
        <v>15</v>
      </c>
    </row>
    <row r="10" ht="33.75" customHeight="1">
      <c r="A10" s="6" t="s">
        <v>21</v>
      </c>
      <c r="B10" s="7" t="s">
        <v>17</v>
      </c>
      <c r="C10" s="7" t="s">
        <v>22</v>
      </c>
      <c r="D10" s="6" t="s">
        <v>10</v>
      </c>
    </row>
    <row r="11" ht="33.75" customHeight="1">
      <c r="A11" s="6" t="s">
        <v>23</v>
      </c>
      <c r="B11" s="7" t="s">
        <v>17</v>
      </c>
      <c r="C11" s="7" t="s">
        <v>24</v>
      </c>
      <c r="D11" s="6" t="s">
        <v>10</v>
      </c>
    </row>
    <row r="12" ht="33.75" customHeight="1">
      <c r="A12" s="6" t="s">
        <v>25</v>
      </c>
      <c r="B12" s="7" t="s">
        <v>17</v>
      </c>
      <c r="C12" s="7" t="s">
        <v>26</v>
      </c>
      <c r="D12" s="6" t="s">
        <v>10</v>
      </c>
    </row>
    <row r="13" ht="33.75" customHeight="1">
      <c r="A13" s="6" t="s">
        <v>27</v>
      </c>
      <c r="B13" s="7" t="s">
        <v>17</v>
      </c>
      <c r="C13" s="7" t="s">
        <v>28</v>
      </c>
      <c r="D13" s="6" t="s">
        <v>15</v>
      </c>
    </row>
    <row r="14" ht="33.75" customHeight="1">
      <c r="A14" s="6" t="s">
        <v>29</v>
      </c>
      <c r="B14" s="7" t="s">
        <v>17</v>
      </c>
      <c r="C14" s="7" t="s">
        <v>30</v>
      </c>
      <c r="D14" s="6" t="s">
        <v>10</v>
      </c>
    </row>
    <row r="15" ht="33.75" customHeight="1">
      <c r="A15" s="6" t="s">
        <v>31</v>
      </c>
      <c r="B15" s="7" t="s">
        <v>17</v>
      </c>
      <c r="C15" s="7" t="s">
        <v>32</v>
      </c>
      <c r="D15" s="6" t="s">
        <v>10</v>
      </c>
    </row>
    <row r="16" ht="33.75" customHeight="1">
      <c r="A16" s="6" t="s">
        <v>33</v>
      </c>
      <c r="B16" s="7" t="s">
        <v>17</v>
      </c>
      <c r="C16" s="7" t="s">
        <v>34</v>
      </c>
      <c r="D16" s="6" t="s">
        <v>15</v>
      </c>
    </row>
    <row r="17" ht="33.75" customHeight="1">
      <c r="A17" s="6" t="s">
        <v>35</v>
      </c>
      <c r="B17" s="7" t="s">
        <v>36</v>
      </c>
      <c r="C17" s="7" t="s">
        <v>37</v>
      </c>
      <c r="D17" s="6" t="s">
        <v>10</v>
      </c>
    </row>
    <row r="18" ht="33.75" customHeight="1">
      <c r="A18" s="6" t="s">
        <v>38</v>
      </c>
      <c r="B18" s="7" t="s">
        <v>36</v>
      </c>
      <c r="C18" s="7" t="s">
        <v>39</v>
      </c>
      <c r="D18" s="6" t="s">
        <v>10</v>
      </c>
    </row>
    <row r="19" ht="33.75" customHeight="1">
      <c r="A19" s="6" t="s">
        <v>40</v>
      </c>
      <c r="B19" s="7" t="s">
        <v>36</v>
      </c>
      <c r="C19" s="7" t="s">
        <v>41</v>
      </c>
      <c r="D19" s="6" t="s">
        <v>15</v>
      </c>
    </row>
    <row r="20" ht="33.75" customHeight="1">
      <c r="A20" s="6" t="s">
        <v>42</v>
      </c>
      <c r="B20" s="7" t="s">
        <v>36</v>
      </c>
      <c r="C20" s="7" t="s">
        <v>43</v>
      </c>
      <c r="D20" s="6" t="s">
        <v>15</v>
      </c>
    </row>
    <row r="21" ht="33.75" customHeight="1">
      <c r="A21" s="6" t="s">
        <v>44</v>
      </c>
      <c r="B21" s="7" t="s">
        <v>36</v>
      </c>
      <c r="C21" s="7" t="s">
        <v>45</v>
      </c>
      <c r="D21" s="6" t="s">
        <v>15</v>
      </c>
    </row>
    <row r="22" ht="33.75" customHeight="1">
      <c r="A22" s="6" t="s">
        <v>47</v>
      </c>
      <c r="B22" s="7" t="s">
        <v>36</v>
      </c>
      <c r="C22" s="7" t="s">
        <v>48</v>
      </c>
      <c r="D22" s="6" t="s">
        <v>10</v>
      </c>
    </row>
    <row r="23" ht="33.75" customHeight="1">
      <c r="A23" s="6" t="s">
        <v>49</v>
      </c>
      <c r="B23" s="7" t="s">
        <v>46</v>
      </c>
      <c r="C23" s="7" t="s">
        <v>50</v>
      </c>
      <c r="D23" s="6" t="s">
        <v>10</v>
      </c>
    </row>
    <row r="24" ht="33.75" customHeight="1">
      <c r="A24" s="6" t="s">
        <v>51</v>
      </c>
      <c r="B24" s="7" t="s">
        <v>46</v>
      </c>
      <c r="C24" s="7" t="s">
        <v>52</v>
      </c>
      <c r="D24" s="6" t="s">
        <v>15</v>
      </c>
    </row>
    <row r="25" ht="33.75" customHeight="1">
      <c r="A25" s="6" t="s">
        <v>54</v>
      </c>
      <c r="B25" s="7" t="s">
        <v>46</v>
      </c>
      <c r="C25" s="7" t="s">
        <v>55</v>
      </c>
      <c r="D25" s="6" t="s">
        <v>10</v>
      </c>
    </row>
    <row r="26" ht="33.75" customHeight="1">
      <c r="A26" s="6" t="s">
        <v>56</v>
      </c>
      <c r="B26" s="7" t="s">
        <v>46</v>
      </c>
      <c r="C26" s="7" t="s">
        <v>57</v>
      </c>
      <c r="D26" s="6" t="s">
        <v>15</v>
      </c>
    </row>
    <row r="27" ht="33.75" customHeight="1">
      <c r="A27" s="6" t="s">
        <v>58</v>
      </c>
      <c r="B27" s="7" t="s">
        <v>53</v>
      </c>
      <c r="C27" s="7" t="s">
        <v>60</v>
      </c>
      <c r="D27" s="6" t="s">
        <v>10</v>
      </c>
    </row>
    <row r="28" ht="33.75" customHeight="1">
      <c r="A28" s="6" t="s">
        <v>61</v>
      </c>
      <c r="B28" s="7" t="s">
        <v>53</v>
      </c>
      <c r="C28" s="7" t="s">
        <v>62</v>
      </c>
      <c r="D28" s="6" t="s">
        <v>10</v>
      </c>
    </row>
    <row r="29" ht="33.75" customHeight="1">
      <c r="A29" s="6" t="s">
        <v>63</v>
      </c>
      <c r="B29" s="7" t="s">
        <v>53</v>
      </c>
      <c r="C29" s="7" t="s">
        <v>64</v>
      </c>
      <c r="D29" s="6" t="s">
        <v>10</v>
      </c>
    </row>
    <row r="30" ht="33.75" customHeight="1">
      <c r="A30" s="6" t="s">
        <v>65</v>
      </c>
      <c r="B30" s="7" t="s">
        <v>53</v>
      </c>
      <c r="C30" s="7" t="s">
        <v>67</v>
      </c>
      <c r="D30" s="6" t="s">
        <v>15</v>
      </c>
    </row>
    <row r="31" ht="33.75" customHeight="1">
      <c r="A31" s="6" t="s">
        <v>68</v>
      </c>
      <c r="B31" s="7" t="s">
        <v>53</v>
      </c>
      <c r="C31" s="7" t="s">
        <v>69</v>
      </c>
      <c r="D31" s="6" t="s">
        <v>10</v>
      </c>
    </row>
    <row r="32" ht="33.75" customHeight="1">
      <c r="A32" s="6" t="s">
        <v>70</v>
      </c>
      <c r="B32" s="7" t="s">
        <v>53</v>
      </c>
      <c r="C32" s="7" t="s">
        <v>71</v>
      </c>
      <c r="D32" s="6" t="s">
        <v>10</v>
      </c>
    </row>
    <row r="33" ht="33.75" customHeight="1">
      <c r="A33" s="6" t="s">
        <v>72</v>
      </c>
      <c r="B33" s="7" t="s">
        <v>53</v>
      </c>
      <c r="C33" s="7" t="s">
        <v>73</v>
      </c>
      <c r="D33" s="6" t="s">
        <v>15</v>
      </c>
    </row>
    <row r="34" ht="33.75" customHeight="1">
      <c r="A34" s="6" t="s">
        <v>75</v>
      </c>
      <c r="B34" s="7" t="s">
        <v>53</v>
      </c>
      <c r="C34" s="7" t="s">
        <v>76</v>
      </c>
      <c r="D34" s="6" t="s">
        <v>77</v>
      </c>
    </row>
    <row r="35" ht="33.75" customHeight="1">
      <c r="A35" s="6" t="s">
        <v>78</v>
      </c>
      <c r="B35" s="7" t="s">
        <v>59</v>
      </c>
      <c r="C35" s="7" t="s">
        <v>79</v>
      </c>
      <c r="D35" s="6" t="s">
        <v>10</v>
      </c>
    </row>
    <row r="36" ht="33.75" customHeight="1">
      <c r="A36" s="6" t="s">
        <v>80</v>
      </c>
      <c r="B36" s="7" t="s">
        <v>59</v>
      </c>
      <c r="C36" s="7" t="s">
        <v>81</v>
      </c>
      <c r="D36" s="6" t="s">
        <v>10</v>
      </c>
    </row>
    <row r="37" ht="33.75" customHeight="1">
      <c r="A37" s="6" t="s">
        <v>83</v>
      </c>
      <c r="B37" s="7" t="s">
        <v>59</v>
      </c>
      <c r="C37" s="7" t="s">
        <v>84</v>
      </c>
      <c r="D37" s="6" t="s">
        <v>10</v>
      </c>
    </row>
    <row r="38" ht="33.75" customHeight="1">
      <c r="A38" s="6" t="s">
        <v>86</v>
      </c>
      <c r="B38" s="7" t="s">
        <v>66</v>
      </c>
      <c r="C38" s="7" t="s">
        <v>87</v>
      </c>
      <c r="D38" s="6" t="s">
        <v>10</v>
      </c>
    </row>
    <row r="39" ht="33.75" customHeight="1">
      <c r="A39" s="6" t="s">
        <v>88</v>
      </c>
      <c r="B39" s="7" t="s">
        <v>66</v>
      </c>
      <c r="C39" s="7" t="s">
        <v>89</v>
      </c>
      <c r="D39" s="6" t="s">
        <v>10</v>
      </c>
    </row>
    <row r="40" ht="33.75" customHeight="1">
      <c r="A40" s="6" t="s">
        <v>90</v>
      </c>
      <c r="B40" s="7" t="s">
        <v>66</v>
      </c>
      <c r="C40" s="7" t="s">
        <v>91</v>
      </c>
      <c r="D40" s="6" t="s">
        <v>10</v>
      </c>
    </row>
    <row r="41" ht="33.75" customHeight="1">
      <c r="A41" s="6" t="s">
        <v>92</v>
      </c>
      <c r="B41" s="7" t="s">
        <v>66</v>
      </c>
      <c r="C41" s="7" t="s">
        <v>93</v>
      </c>
      <c r="D41" s="6" t="s">
        <v>10</v>
      </c>
    </row>
    <row r="42" ht="33.75" customHeight="1">
      <c r="A42" s="6" t="s">
        <v>94</v>
      </c>
      <c r="B42" s="7" t="s">
        <v>66</v>
      </c>
      <c r="C42" s="7" t="s">
        <v>95</v>
      </c>
      <c r="D42" s="6" t="s">
        <v>10</v>
      </c>
    </row>
    <row r="43" ht="33.75" customHeight="1">
      <c r="A43" s="6" t="s">
        <v>96</v>
      </c>
      <c r="B43" s="7" t="s">
        <v>66</v>
      </c>
      <c r="C43" s="7" t="s">
        <v>97</v>
      </c>
      <c r="D43" s="6" t="s">
        <v>15</v>
      </c>
    </row>
    <row r="44" ht="33.75" customHeight="1">
      <c r="A44" s="6" t="s">
        <v>98</v>
      </c>
      <c r="B44" s="7" t="s">
        <v>66</v>
      </c>
      <c r="C44" s="7" t="s">
        <v>99</v>
      </c>
      <c r="D44" s="6" t="s">
        <v>10</v>
      </c>
    </row>
    <row r="45" ht="33.75" customHeight="1">
      <c r="A45" s="6" t="s">
        <v>100</v>
      </c>
      <c r="B45" s="7" t="s">
        <v>66</v>
      </c>
      <c r="C45" s="7" t="s">
        <v>101</v>
      </c>
      <c r="D45" s="6" t="s">
        <v>15</v>
      </c>
    </row>
    <row r="46" ht="33.75" customHeight="1">
      <c r="A46" s="6" t="s">
        <v>102</v>
      </c>
      <c r="B46" s="7" t="s">
        <v>66</v>
      </c>
      <c r="C46" s="7" t="s">
        <v>103</v>
      </c>
      <c r="D46" s="6" t="s">
        <v>15</v>
      </c>
    </row>
    <row r="47" ht="33.75" customHeight="1">
      <c r="A47" s="6" t="s">
        <v>104</v>
      </c>
      <c r="B47" s="7" t="s">
        <v>66</v>
      </c>
      <c r="C47" s="7" t="s">
        <v>105</v>
      </c>
      <c r="D47" s="6" t="s">
        <v>10</v>
      </c>
    </row>
    <row r="48" ht="33.75" customHeight="1">
      <c r="A48" s="6" t="s">
        <v>106</v>
      </c>
      <c r="B48" s="7" t="s">
        <v>66</v>
      </c>
      <c r="C48" s="7" t="s">
        <v>107</v>
      </c>
      <c r="D48" s="6" t="s">
        <v>15</v>
      </c>
    </row>
    <row r="49" ht="33.75" customHeight="1">
      <c r="A49" s="6" t="s">
        <v>108</v>
      </c>
      <c r="B49" s="7" t="s">
        <v>74</v>
      </c>
      <c r="C49" s="7" t="s">
        <v>109</v>
      </c>
      <c r="D49" s="6" t="s">
        <v>10</v>
      </c>
    </row>
    <row r="50" ht="33.75" customHeight="1">
      <c r="A50" s="6" t="s">
        <v>110</v>
      </c>
      <c r="B50" s="7" t="s">
        <v>74</v>
      </c>
      <c r="C50" s="7" t="s">
        <v>111</v>
      </c>
      <c r="D50" s="6" t="s">
        <v>15</v>
      </c>
    </row>
    <row r="51" ht="33.75" customHeight="1">
      <c r="A51" s="6" t="s">
        <v>112</v>
      </c>
      <c r="B51" s="7" t="s">
        <v>82</v>
      </c>
      <c r="C51" s="7" t="s">
        <v>113</v>
      </c>
      <c r="D51" s="6" t="s">
        <v>10</v>
      </c>
    </row>
    <row r="52" ht="33.75" customHeight="1">
      <c r="A52" s="6" t="s">
        <v>114</v>
      </c>
      <c r="B52" s="7" t="s">
        <v>82</v>
      </c>
      <c r="C52" s="7" t="s">
        <v>115</v>
      </c>
      <c r="D52" s="6" t="s">
        <v>10</v>
      </c>
    </row>
    <row r="53" ht="33.75" customHeight="1">
      <c r="A53" s="6" t="s">
        <v>116</v>
      </c>
      <c r="B53" s="7" t="s">
        <v>82</v>
      </c>
      <c r="C53" s="7" t="s">
        <v>117</v>
      </c>
      <c r="D53" s="6" t="s">
        <v>15</v>
      </c>
    </row>
    <row r="54" ht="33.75" customHeight="1">
      <c r="A54" s="6" t="s">
        <v>118</v>
      </c>
      <c r="B54" s="7" t="s">
        <v>82</v>
      </c>
      <c r="C54" s="7" t="s">
        <v>119</v>
      </c>
      <c r="D54" s="6" t="s">
        <v>15</v>
      </c>
    </row>
    <row r="55" ht="33.75" customHeight="1">
      <c r="A55" s="6" t="s">
        <v>120</v>
      </c>
      <c r="B55" s="7" t="s">
        <v>82</v>
      </c>
      <c r="C55" s="7" t="s">
        <v>121</v>
      </c>
      <c r="D55" s="6" t="s">
        <v>77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D$55"/>
  <conditionalFormatting sqref="D5:D55">
    <cfRule type="cellIs" dxfId="0" priority="1" operator="equal">
      <formula>"Alta"</formula>
    </cfRule>
  </conditionalFormatting>
  <conditionalFormatting sqref="D5:D55">
    <cfRule type="cellIs" dxfId="1" priority="2" operator="equal">
      <formula>"Media"</formula>
    </cfRule>
  </conditionalFormatting>
  <conditionalFormatting sqref="D5:D55">
    <cfRule type="cellIs" dxfId="2" priority="3" operator="equal">
      <formula>"Baja"</formula>
    </cfRule>
  </conditionalFormatting>
  <dataValidations>
    <dataValidation type="list" allowBlank="1" sqref="D5:D55">
      <formula1>"Alta,Media,Baja"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2.0"/>
    <col customWidth="1" min="3" max="26" width="8.71"/>
  </cols>
  <sheetData>
    <row r="1">
      <c r="A1" s="1" t="s">
        <v>0</v>
      </c>
    </row>
    <row r="3">
      <c r="A3" s="3" t="s">
        <v>2</v>
      </c>
      <c r="B3" s="3" t="s">
        <v>4</v>
      </c>
    </row>
    <row r="4">
      <c r="A4" s="5" t="s">
        <v>5</v>
      </c>
      <c r="B4" s="8">
        <f>COUNTIF(Backlog!$B$5:$B$55,A4)</f>
        <v>3</v>
      </c>
    </row>
    <row r="5">
      <c r="A5" s="5" t="s">
        <v>17</v>
      </c>
      <c r="B5" s="8">
        <f>COUNTIF(Backlog!$B$5:$B$55,A5)</f>
        <v>9</v>
      </c>
    </row>
    <row r="6">
      <c r="A6" s="5" t="s">
        <v>36</v>
      </c>
      <c r="B6" s="8">
        <f>COUNTIF(Backlog!$B$5:$B$55,A6)</f>
        <v>6</v>
      </c>
    </row>
    <row r="7">
      <c r="A7" s="5" t="s">
        <v>46</v>
      </c>
      <c r="B7" s="8">
        <f>COUNTIF(Backlog!$B$5:$B$55,A7)</f>
        <v>4</v>
      </c>
    </row>
    <row r="8">
      <c r="A8" s="5" t="s">
        <v>53</v>
      </c>
      <c r="B8" s="8">
        <f>COUNTIF(Backlog!$B$5:$B$55,A8)</f>
        <v>8</v>
      </c>
    </row>
    <row r="9">
      <c r="A9" s="5" t="s">
        <v>59</v>
      </c>
      <c r="B9" s="8">
        <f>COUNTIF(Backlog!$B$5:$B$55,A9)</f>
        <v>3</v>
      </c>
    </row>
    <row r="10">
      <c r="A10" s="5" t="s">
        <v>66</v>
      </c>
      <c r="B10" s="8">
        <f>COUNTIF(Backlog!$B$5:$B$55,A10)</f>
        <v>11</v>
      </c>
    </row>
    <row r="11">
      <c r="A11" s="5" t="s">
        <v>74</v>
      </c>
      <c r="B11" s="8">
        <f>COUNTIF(Backlog!$B$5:$B$55,A11)</f>
        <v>2</v>
      </c>
    </row>
    <row r="12">
      <c r="A12" s="5" t="s">
        <v>82</v>
      </c>
      <c r="B12" s="8">
        <f>COUNTIF(Backlog!$B$5:$B$55,A12)</f>
        <v>5</v>
      </c>
    </row>
    <row r="13">
      <c r="A13" s="9" t="s">
        <v>85</v>
      </c>
      <c r="B13" s="10">
        <f>SUM(B4:B12)</f>
        <v>51</v>
      </c>
    </row>
    <row r="15">
      <c r="A15" s="3" t="s">
        <v>7</v>
      </c>
      <c r="B15" s="3" t="s">
        <v>4</v>
      </c>
    </row>
    <row r="16">
      <c r="A16" s="5" t="s">
        <v>10</v>
      </c>
      <c r="B16" s="8">
        <f>COUNTIF(Backlog!$D$5:$D$55,A16)</f>
        <v>31</v>
      </c>
    </row>
    <row r="17">
      <c r="A17" s="5" t="s">
        <v>15</v>
      </c>
      <c r="B17" s="8">
        <f>COUNTIF(Backlog!$D$5:$D$55,A17)</f>
        <v>18</v>
      </c>
    </row>
    <row r="18">
      <c r="A18" s="5" t="s">
        <v>77</v>
      </c>
      <c r="B18" s="8">
        <f>COUNTIF(Backlog!$D$5:$D$55,A18)</f>
        <v>2</v>
      </c>
    </row>
    <row r="19">
      <c r="A19" s="9" t="s">
        <v>85</v>
      </c>
      <c r="B19" s="10">
        <f>SUM(B16:B18)</f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2026-10-19T21:36:41Z</dcterms:created>
  <dc:creator>openpyxl</dc:creator>
</cp:coreProperties>
</file>