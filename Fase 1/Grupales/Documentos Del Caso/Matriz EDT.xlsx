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DT" sheetId="1" r:id="rId4"/>
    <sheet state="visible" name="Costos Fases" sheetId="2" r:id="rId5"/>
  </sheets>
  <definedNames/>
  <calcPr/>
  <extLst>
    <ext uri="GoogleSheetsCustomDataVersion2">
      <go:sheetsCustomData xmlns:go="http://customooxmlschemas.google.com/" r:id="rId6" roundtripDataChecksum="lK2wyASIYNhJXdjvev9RTpPWA6MUtjZXW0coPTkKg00="/>
    </ext>
  </extLst>
</workbook>
</file>

<file path=xl/sharedStrings.xml><?xml version="1.0" encoding="utf-8"?>
<sst xmlns="http://schemas.openxmlformats.org/spreadsheetml/2006/main" count="304" uniqueCount="157">
  <si>
    <t>Matriz Estructura de descomposición de tareas EDT</t>
  </si>
  <si>
    <t>SIGLA</t>
  </si>
  <si>
    <t>ROL</t>
  </si>
  <si>
    <t>NOMBRE</t>
  </si>
  <si>
    <t>VALOR HORA HH</t>
  </si>
  <si>
    <t>HORAS</t>
  </si>
  <si>
    <t>FASE PLANIFICACION</t>
  </si>
  <si>
    <t>COSTO POR HORA</t>
  </si>
  <si>
    <t>Etapas</t>
  </si>
  <si>
    <t>DIAS</t>
  </si>
  <si>
    <t>HORAS POR ACTIVIDAD O ENTREGABLE</t>
  </si>
  <si>
    <t>JP</t>
  </si>
  <si>
    <t>Jefe de Proyecto</t>
  </si>
  <si>
    <t>Luis Gonzalez Palma</t>
  </si>
  <si>
    <t>DICCIONARIO EDT</t>
  </si>
  <si>
    <t>Fase de Planificación</t>
  </si>
  <si>
    <t>Analista Programador</t>
  </si>
  <si>
    <t>DBA</t>
  </si>
  <si>
    <t>QA</t>
  </si>
  <si>
    <t>Diseñador</t>
  </si>
  <si>
    <t>ROL ACTOR</t>
  </si>
  <si>
    <t>NOMBRE ACTOR</t>
  </si>
  <si>
    <t>Acta de Constitución de proyecto</t>
  </si>
  <si>
    <t>COSTO x HORA</t>
  </si>
  <si>
    <t>Sueldo mes</t>
  </si>
  <si>
    <t>AP</t>
  </si>
  <si>
    <t>Luis Gonzalez</t>
  </si>
  <si>
    <t>Aprobación del Acta</t>
  </si>
  <si>
    <t>Javier Rodriguez</t>
  </si>
  <si>
    <t>Definición de requerimientos Generales</t>
  </si>
  <si>
    <t>Desarrollador BD</t>
  </si>
  <si>
    <t>Martin Guerrero</t>
  </si>
  <si>
    <t>Organización del equipo</t>
  </si>
  <si>
    <t>Calidad Y Testing</t>
  </si>
  <si>
    <t>Allison Rubio</t>
  </si>
  <si>
    <t>Levantamiento de problemáticas y caso de negocio</t>
  </si>
  <si>
    <t>DI</t>
  </si>
  <si>
    <t>Sebastian Rojas</t>
  </si>
  <si>
    <t>Definición de objetivos generales y específicos</t>
  </si>
  <si>
    <t>Especificación de alcance y requerimientos funcionales</t>
  </si>
  <si>
    <t>Fase de Análisis y diseño</t>
  </si>
  <si>
    <t xml:space="preserve">Captura de requerimientos específicos </t>
  </si>
  <si>
    <t>Documento de arquitectura SW</t>
  </si>
  <si>
    <t>Documento de casos de uso</t>
  </si>
  <si>
    <t>Prototipos</t>
  </si>
  <si>
    <t>Administrador BD</t>
  </si>
  <si>
    <t>Propuesta ERS</t>
  </si>
  <si>
    <t>Diseño UI/UX App Móvil Dueños de Mascotas</t>
  </si>
  <si>
    <t>Diseño UI/UX Web Tiendas, Clínicas y Panel Admin</t>
  </si>
  <si>
    <t>Fase de Desarrollo</t>
  </si>
  <si>
    <t>Implementación ambiente de desarrollo</t>
  </si>
  <si>
    <t xml:space="preserve">Creacion de los script de tablas base de datos </t>
  </si>
  <si>
    <t>TOTAL FASE PLANIFICACION</t>
  </si>
  <si>
    <t xml:space="preserve">Creacion de los script de consultas PL/SQL </t>
  </si>
  <si>
    <t>Módulo Registro, Perfil de Mascota e Historial Médico</t>
  </si>
  <si>
    <t>Módulo Comparador de Precios y Catálogo de Productos</t>
  </si>
  <si>
    <t>Sistema de Alertas de Precios y Recordatorios de Atenciones</t>
  </si>
  <si>
    <t>Portal Clínicas: Fichas médicas, pacientes y gestión de horas</t>
  </si>
  <si>
    <t>Portal Tiendas: Catálogo, actualización de stock y precios</t>
  </si>
  <si>
    <t>Panel Administrativo General y Reportabilidad</t>
  </si>
  <si>
    <t xml:space="preserve">VALOR HORA HH </t>
  </si>
  <si>
    <t>Flujo de pedidos, asignación y seguimiento en tiempo real</t>
  </si>
  <si>
    <t>FASE DISEÑO</t>
  </si>
  <si>
    <t>COSTO HH POR ROL</t>
  </si>
  <si>
    <t>App Repartidores: Control de rutas y carga de evidencia fotográfica</t>
  </si>
  <si>
    <t>Desarrollo del algoritmo de detección de patrones (peso/salud)</t>
  </si>
  <si>
    <t>Integración del sistema de alertas en la App y Panel</t>
  </si>
  <si>
    <t>Modulos de Contratación</t>
  </si>
  <si>
    <t>Administrar Contratación.</t>
  </si>
  <si>
    <t>Administrar Empleados.</t>
  </si>
  <si>
    <t>Contratación de Personal Veterinario (Clínicas).</t>
  </si>
  <si>
    <t>Contratación y Onboarding de Tiendas / Comercios.</t>
  </si>
  <si>
    <t>Contratación de Repartidores / Fleet Onboarding.</t>
  </si>
  <si>
    <t>Contratación del Equipo de Desarrollo y TI.</t>
  </si>
  <si>
    <t>Contratación de Soporte y Atención al Cliente.</t>
  </si>
  <si>
    <t>Modulo de Gestion de Mascotas y Usuarios (App Movil)</t>
  </si>
  <si>
    <t>Administrar Perfil de Usuario y Registro de Mascotas.</t>
  </si>
  <si>
    <t>Registro de Ficha Biométrica (Peso, Alimentación).</t>
  </si>
  <si>
    <t>Control de Vacunas, Medicamentos y Recordatorios.</t>
  </si>
  <si>
    <t>Buscador de Clínicas y Tiendas Cercanas.</t>
  </si>
  <si>
    <t>Modulo de Comparador y Histórico de Precios</t>
  </si>
  <si>
    <t>Buscador y Comparador de Productos/Stock.</t>
  </si>
  <si>
    <t>Histórico de Precios.</t>
  </si>
  <si>
    <t>Configuración de Alertas de Bajada de Precios.</t>
  </si>
  <si>
    <t>Módulo de Gestión Clínica (Plataforma Web Clínicas):</t>
  </si>
  <si>
    <t>Administrar Fichas Médicas y Pacientes.</t>
  </si>
  <si>
    <t>Registro de Consultas, Diagnósticos y Recetas.</t>
  </si>
  <si>
    <t>Gestión de Horas Médicas y Personal Veterinario.</t>
  </si>
  <si>
    <t>Módulo de Tiendas y Catálogo (Plataforma Web Tiendas):</t>
  </si>
  <si>
    <t>Administrar Catálogo de Productos (Stock, Precios, Fotos).</t>
  </si>
  <si>
    <t>TOTAL FASE DISEÑO</t>
  </si>
  <si>
    <t>Gestión de Pedidos.</t>
  </si>
  <si>
    <t>Módulo de Logística y Despachos:</t>
  </si>
  <si>
    <t>Asignación y Seguimiento de Rutas.</t>
  </si>
  <si>
    <t>TOTAL HH</t>
  </si>
  <si>
    <t>Registro de Incidencias y Desviaciones.</t>
  </si>
  <si>
    <t>Captura de Evidencia de Entrega (Fotografía).</t>
  </si>
  <si>
    <t>Módulo de Alertas Inteligentes (Diferenciador):</t>
  </si>
  <si>
    <t>Análisis de Patrones y Variaciones Históricas (Ej. Peso).</t>
  </si>
  <si>
    <t>FASE DESARROLLO</t>
  </si>
  <si>
    <t>COSTO POR FASE</t>
  </si>
  <si>
    <t>Generación y Notificación de Alertas Preventivas.</t>
  </si>
  <si>
    <t>MODULOS DEL ADMINISTRADOR DEL SISTEMA</t>
  </si>
  <si>
    <t>Gestión de Usuarios y Accesos</t>
  </si>
  <si>
    <t>Administrar Perfiles.</t>
  </si>
  <si>
    <t>Administrar Credenciales.</t>
  </si>
  <si>
    <t>Gestión de Usuarios.</t>
  </si>
  <si>
    <t>Gestión de Entidades y Catálogos</t>
  </si>
  <si>
    <t>Gestión de Tiendas y Clínicas.</t>
  </si>
  <si>
    <t>Gestión de Catálogo General.</t>
  </si>
  <si>
    <t>Gestión de Mascotas.</t>
  </si>
  <si>
    <t>Monitoreo y Operaciones (Logística)</t>
  </si>
  <si>
    <t>Supervisión de Pedidos y Despachos.</t>
  </si>
  <si>
    <t>Gestión de Incidencias y Evidencias.</t>
  </si>
  <si>
    <t>Inteligencia y Configuración de Reglas</t>
  </si>
  <si>
    <t>Gestión de Alertas Inteligentes.</t>
  </si>
  <si>
    <t>Reportabilidad y Auditoría</t>
  </si>
  <si>
    <t>Módulo de Reportes y Estadísticas.</t>
  </si>
  <si>
    <t>Auditoría del Sistema.</t>
  </si>
  <si>
    <t>MODULO DE REPORTES</t>
  </si>
  <si>
    <t>Reportes del Módulo de Productos y Mercado</t>
  </si>
  <si>
    <t>Módulo de Reportes de Búsqueda y Comparación.</t>
  </si>
  <si>
    <t>Módulo de Reportes de Variación de Precios.</t>
  </si>
  <si>
    <t>Reportes del Módulo de Mascotas y Alertas</t>
  </si>
  <si>
    <t>Módulo de Reportes Demográficos de Mascotas.</t>
  </si>
  <si>
    <t>Módulo de Reportes de Actividad Sanitaria.</t>
  </si>
  <si>
    <t>Módulo de Reportes de Alertas Inteligentes.</t>
  </si>
  <si>
    <t>Fase de Análisis y Diseño</t>
  </si>
  <si>
    <t>Reportes del Módulo Operativo de Clínicas</t>
  </si>
  <si>
    <t>Módulo de Reportes de Gestión Clínica.</t>
  </si>
  <si>
    <t>Módulo de Reportes de Agendamiento.</t>
  </si>
  <si>
    <t>Reportes del Módulo Logístico y Despachos</t>
  </si>
  <si>
    <t>Módulo de Reportes de Cumplimiento de Entregas.</t>
  </si>
  <si>
    <t>Módulo de Reportes de Trazabilidad e Incidencias.</t>
  </si>
  <si>
    <t>Fase de Pruebas y QA</t>
  </si>
  <si>
    <t>Implementación ambiente de pruebas.</t>
  </si>
  <si>
    <t>Pruebas Funcionales.</t>
  </si>
  <si>
    <t>Pruebas con Usuarios.</t>
  </si>
  <si>
    <t>Arquitectura de BD y diseño del modelo relacional.</t>
  </si>
  <si>
    <t>Fase de implementación y cierre</t>
  </si>
  <si>
    <t>Migración del sistema a producción</t>
  </si>
  <si>
    <t>Pruebas integrales de plataforma y QA</t>
  </si>
  <si>
    <t>Configuración de servidores, BD y despliegue a producción</t>
  </si>
  <si>
    <t>Capacitaciones</t>
  </si>
  <si>
    <t>Manuales Usuario</t>
  </si>
  <si>
    <t>Acta cierre de proyecto</t>
  </si>
  <si>
    <t>Fase de QA</t>
  </si>
  <si>
    <t>Fase de Implementación y Cierre</t>
  </si>
  <si>
    <t>TOTAL FASE DESARROLLO</t>
  </si>
  <si>
    <t>TOTAL HH FASES</t>
  </si>
  <si>
    <t>FASE PRUEBAS QA</t>
  </si>
  <si>
    <t xml:space="preserve">Margen </t>
  </si>
  <si>
    <t>UTILIDAD</t>
  </si>
  <si>
    <t>PRECIO FINAL</t>
  </si>
  <si>
    <t>TOTAL FASE PRUEBAS QA</t>
  </si>
  <si>
    <t>FASE IMPLEMENTACION Y CIERRE</t>
  </si>
  <si>
    <t>TOTAL FASE IMPLEMENTACION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</si>
</sst>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 &quot;$&quot;* #,##0_ ;_ &quot;$&quot;* \-#,##0_ ;_ &quot;$&quot;* &quot;-&quot;_ ;_ @_ "/>
    <numFmt numFmtId="165" formatCode="0_ ;\-0\ "/>
  </numFmts>
  <fonts count="6">
    <font>
      <sz val="11.0"/>
      <color theme="1"/>
      <name val="Calibri"/>
      <scheme val="minor"/>
    </font>
    <font>
      <sz val="11.0"/>
      <color theme="1"/>
      <name val="Calibri"/>
    </font>
    <font>
      <sz val="14.0"/>
      <color theme="1"/>
      <name val="Calibri"/>
    </font>
    <font/>
    <font>
      <b/>
      <sz val="12.0"/>
      <color theme="1"/>
      <name val="Calibri"/>
    </font>
    <font>
      <color theme="1"/>
      <name val="Calibri"/>
      <scheme val="minor"/>
    </font>
  </fonts>
  <fills count="27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ADB9CA"/>
        <bgColor rgb="FFADB9CA"/>
      </patternFill>
    </fill>
    <fill>
      <patternFill patternType="solid">
        <fgColor rgb="FFB7B7B7"/>
        <bgColor rgb="FFB7B7B7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A4C2F4"/>
        <bgColor rgb="FFA4C2F4"/>
      </patternFill>
    </fill>
    <fill>
      <patternFill patternType="solid">
        <fgColor rgb="FFD9D9D9"/>
        <bgColor rgb="FFD9D9D9"/>
      </patternFill>
    </fill>
    <fill>
      <patternFill patternType="solid">
        <fgColor rgb="FFB4A7D6"/>
        <bgColor rgb="FFB4A7D6"/>
      </patternFill>
    </fill>
    <fill>
      <patternFill patternType="solid">
        <fgColor rgb="FFE69138"/>
        <bgColor rgb="FFE69138"/>
      </patternFill>
    </fill>
    <fill>
      <patternFill patternType="solid">
        <fgColor rgb="FF00FFFF"/>
        <bgColor rgb="FF00FFFF"/>
      </patternFill>
    </fill>
    <fill>
      <patternFill patternType="solid">
        <fgColor rgb="FFCC4125"/>
        <bgColor rgb="FFCC4125"/>
      </patternFill>
    </fill>
    <fill>
      <patternFill patternType="solid">
        <fgColor rgb="FFFF00FF"/>
        <bgColor rgb="FFFF00FF"/>
      </patternFill>
    </fill>
    <fill>
      <patternFill patternType="solid">
        <fgColor rgb="FFF2F2F2"/>
        <bgColor rgb="FFF2F2F2"/>
      </patternFill>
    </fill>
    <fill>
      <patternFill patternType="solid">
        <fgColor rgb="FFE6B8AF"/>
        <bgColor rgb="FFE6B8AF"/>
      </patternFill>
    </fill>
    <fill>
      <patternFill patternType="solid">
        <fgColor rgb="FFEAD1DC"/>
        <bgColor rgb="FFEAD1DC"/>
      </patternFill>
    </fill>
    <fill>
      <patternFill patternType="solid">
        <fgColor rgb="FFFFD966"/>
        <bgColor rgb="FFFFD966"/>
      </patternFill>
    </fill>
    <fill>
      <patternFill patternType="solid">
        <fgColor rgb="FF76A5AF"/>
        <bgColor rgb="FF76A5AF"/>
      </patternFill>
    </fill>
    <fill>
      <patternFill patternType="solid">
        <fgColor rgb="FFD9D2E9"/>
        <bgColor rgb="FFD9D2E9"/>
      </patternFill>
    </fill>
    <fill>
      <patternFill patternType="solid">
        <fgColor rgb="FFEA9999"/>
        <bgColor rgb="FFEA9999"/>
      </patternFill>
    </fill>
    <fill>
      <patternFill patternType="solid">
        <fgColor rgb="FFCCCCCC"/>
        <bgColor rgb="FFCCCCCC"/>
      </patternFill>
    </fill>
    <fill>
      <patternFill patternType="solid">
        <fgColor rgb="FF9FC5E8"/>
        <bgColor rgb="FF9FC5E8"/>
      </patternFill>
    </fill>
    <fill>
      <patternFill patternType="solid">
        <fgColor rgb="FFC9DAF8"/>
        <bgColor rgb="FFC9DAF8"/>
      </patternFill>
    </fill>
    <fill>
      <patternFill patternType="solid">
        <fgColor rgb="FF999999"/>
        <bgColor rgb="FF999999"/>
      </patternFill>
    </fill>
    <fill>
      <patternFill patternType="solid">
        <fgColor rgb="FF9900FF"/>
        <bgColor rgb="FF9900FF"/>
      </patternFill>
    </fill>
    <fill>
      <patternFill patternType="solid">
        <fgColor rgb="FF4A86E8"/>
        <bgColor rgb="FF4A86E8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/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3" fontId="2" numFmtId="0" xfId="0" applyAlignment="1" applyBorder="1" applyFill="1" applyFont="1">
      <alignment horizontal="center"/>
    </xf>
    <xf borderId="1" fillId="2" fontId="1" numFmtId="0" xfId="0" applyAlignment="1" applyBorder="1" applyFill="1" applyFont="1">
      <alignment horizontal="center" shrinkToFit="0" wrapText="1"/>
    </xf>
    <xf borderId="3" fillId="0" fontId="3" numFmtId="0" xfId="0" applyBorder="1" applyFont="1"/>
    <xf borderId="4" fillId="0" fontId="3" numFmtId="0" xfId="0" applyBorder="1" applyFont="1"/>
    <xf borderId="1" fillId="0" fontId="1" numFmtId="0" xfId="0" applyBorder="1" applyFont="1"/>
    <xf borderId="5" fillId="2" fontId="1" numFmtId="0" xfId="0" applyAlignment="1" applyBorder="1" applyFill="1" applyFont="1">
      <alignment horizontal="center"/>
    </xf>
    <xf borderId="6" fillId="0" fontId="3" numFmtId="0" xfId="0" applyBorder="1" applyFont="1"/>
    <xf borderId="1" fillId="0" fontId="1" numFmtId="0" xfId="0" applyAlignment="1" applyBorder="1" applyFont="1">
      <alignment horizontal="center"/>
    </xf>
    <xf borderId="7" fillId="0" fontId="3" numFmtId="0" xfId="0" applyBorder="1" applyFont="1"/>
    <xf borderId="8" fillId="0" fontId="1" numFmtId="0" xfId="0" applyAlignment="1" applyBorder="1" applyFont="1">
      <alignment horizontal="center"/>
    </xf>
    <xf borderId="9" fillId="0" fontId="3" numFmtId="0" xfId="0" applyBorder="1" applyFont="1"/>
    <xf borderId="1" fillId="0" fontId="1" numFmtId="0" xfId="0" applyAlignment="1" applyBorder="1" applyFont="1">
      <alignment readingOrder="0"/>
    </xf>
    <xf borderId="10" fillId="0" fontId="3" numFmtId="0" xfId="0" applyBorder="1" applyFont="1"/>
    <xf borderId="0" fillId="0" fontId="1" numFmtId="0" xfId="0" applyAlignment="1" applyFont="1">
      <alignment horizontal="center"/>
    </xf>
    <xf borderId="1" fillId="0" fontId="1" numFmtId="164" xfId="0" applyAlignment="1" applyBorder="1" applyFont="1" applyNumberFormat="1">
      <alignment readingOrder="0"/>
    </xf>
    <xf borderId="1" fillId="0" fontId="1" numFmtId="165" xfId="0" applyAlignment="1" applyBorder="1" applyFont="1" applyNumberFormat="1">
      <alignment readingOrder="0"/>
    </xf>
    <xf borderId="11" fillId="4" fontId="1" numFmtId="0" xfId="0" applyBorder="1" applyFill="1" applyFont="1"/>
    <xf borderId="1" fillId="4" fontId="1" numFmtId="0" xfId="0" applyAlignment="1" applyBorder="1" applyFill="1" applyFont="1">
      <alignment readingOrder="0"/>
    </xf>
    <xf borderId="1" fillId="4" fontId="1" numFmtId="0" xfId="0" applyAlignment="1" applyBorder="1" applyFill="1" applyFont="1">
      <alignment horizontal="center" shrinkToFit="0" wrapText="1"/>
    </xf>
    <xf borderId="12" fillId="5" fontId="1" numFmtId="0" xfId="0" applyAlignment="1" applyBorder="1" applyFill="1" applyFont="1">
      <alignment vertical="bottom"/>
    </xf>
    <xf borderId="1" fillId="0" fontId="1" numFmtId="164" xfId="0" applyBorder="1" applyFont="1" applyNumberFormat="1"/>
    <xf borderId="1" fillId="0" fontId="1" numFmtId="3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readingOrder="0" shrinkToFit="0" wrapText="1"/>
    </xf>
    <xf borderId="0" fillId="0" fontId="1" numFmtId="0" xfId="0" applyFont="1"/>
    <xf borderId="13" fillId="0" fontId="1" numFmtId="0" xfId="0" applyBorder="1" applyFont="1"/>
    <xf borderId="1" fillId="0" fontId="1" numFmtId="164" xfId="0" applyAlignment="1" applyBorder="1" applyFont="1" applyNumberFormat="1">
      <alignment horizontal="right" vertical="bottom"/>
    </xf>
    <xf borderId="0" fillId="0" fontId="1" numFmtId="164" xfId="0" applyAlignment="1" applyFont="1" applyNumberFormat="1">
      <alignment horizontal="right" vertical="bottom"/>
    </xf>
    <xf borderId="1" fillId="4" fontId="1" numFmtId="0" xfId="0" applyBorder="1" applyFill="1" applyFont="1"/>
    <xf borderId="12" fillId="6" fontId="1" numFmtId="0" xfId="0" applyAlignment="1" applyBorder="1" applyFill="1" applyFont="1">
      <alignment vertical="bottom"/>
    </xf>
    <xf borderId="1" fillId="0" fontId="1" numFmtId="0" xfId="0" applyAlignment="1" applyBorder="1" applyFont="1">
      <alignment horizontal="center" readingOrder="0"/>
    </xf>
    <xf borderId="14" fillId="6" fontId="1" numFmtId="0" xfId="0" applyAlignment="1" applyBorder="1" applyFill="1" applyFont="1">
      <alignment vertical="bottom"/>
    </xf>
    <xf borderId="12" fillId="7" fontId="1" numFmtId="0" xfId="0" applyAlignment="1" applyBorder="1" applyFill="1" applyFont="1">
      <alignment vertical="bottom"/>
    </xf>
    <xf borderId="12" fillId="8" fontId="1" numFmtId="0" xfId="0" applyAlignment="1" applyBorder="1" applyFill="1" applyFont="1">
      <alignment vertical="bottom"/>
    </xf>
    <xf borderId="1" fillId="8" fontId="1" numFmtId="0" xfId="0" applyAlignment="1" applyBorder="1" applyFill="1" applyFont="1">
      <alignment readingOrder="0"/>
    </xf>
    <xf borderId="1" fillId="8" fontId="1" numFmtId="0" xfId="0" applyBorder="1" applyFill="1" applyFont="1"/>
    <xf borderId="12" fillId="9" fontId="1" numFmtId="0" xfId="0" applyAlignment="1" applyBorder="1" applyFill="1" applyFont="1">
      <alignment vertical="bottom"/>
    </xf>
    <xf borderId="8" fillId="8" fontId="1" numFmtId="0" xfId="0" applyAlignment="1" applyBorder="1" applyFill="1" applyFont="1">
      <alignment horizontal="left" readingOrder="0" shrinkToFit="0" vertical="top" wrapText="1"/>
    </xf>
    <xf borderId="1" fillId="8" fontId="1" numFmtId="0" xfId="0" applyAlignment="1" applyBorder="1" applyFill="1" applyFont="1">
      <alignment horizontal="center"/>
    </xf>
    <xf borderId="8" fillId="10" fontId="1" numFmtId="0" xfId="0" applyAlignment="1" applyBorder="1" applyFill="1" applyFont="1">
      <alignment horizontal="left" readingOrder="0" shrinkToFit="0" vertical="top" wrapText="1"/>
    </xf>
    <xf borderId="12" fillId="11" fontId="1" numFmtId="0" xfId="0" applyAlignment="1" applyBorder="1" applyFill="1" applyFont="1">
      <alignment vertical="bottom"/>
    </xf>
    <xf borderId="12" fillId="12" fontId="1" numFmtId="0" xfId="0" applyAlignment="1" applyBorder="1" applyFill="1" applyFont="1">
      <alignment vertical="bottom"/>
    </xf>
    <xf borderId="0" fillId="12" fontId="1" numFmtId="0" xfId="0" applyAlignment="1" applyFill="1" applyFont="1">
      <alignment vertical="bottom"/>
    </xf>
    <xf borderId="12" fillId="13" fontId="1" numFmtId="0" xfId="0" applyAlignment="1" applyBorder="1" applyFill="1" applyFont="1">
      <alignment vertical="bottom"/>
    </xf>
    <xf borderId="1" fillId="14" fontId="4" numFmtId="0" xfId="0" applyBorder="1" applyFill="1" applyFont="1"/>
    <xf borderId="1" fillId="14" fontId="4" numFmtId="164" xfId="0" applyBorder="1" applyFill="1" applyFont="1" applyNumberFormat="1"/>
    <xf borderId="12" fillId="15" fontId="1" numFmtId="0" xfId="0" applyAlignment="1" applyBorder="1" applyFill="1" applyFont="1">
      <alignment vertical="bottom"/>
    </xf>
    <xf borderId="12" fillId="4" fontId="1" numFmtId="0" xfId="0" applyAlignment="1" applyBorder="1" applyFill="1" applyFont="1">
      <alignment vertical="bottom"/>
    </xf>
    <xf borderId="12" fillId="16" fontId="1" numFmtId="0" xfId="0" applyAlignment="1" applyBorder="1" applyFill="1" applyFont="1">
      <alignment vertical="bottom"/>
    </xf>
    <xf borderId="12" fillId="17" fontId="1" numFmtId="0" xfId="0" applyAlignment="1" applyBorder="1" applyFill="1" applyFont="1">
      <alignment vertical="bottom"/>
    </xf>
    <xf borderId="12" fillId="10" fontId="1" numFmtId="0" xfId="0" applyAlignment="1" applyBorder="1" applyFill="1" applyFont="1">
      <alignment vertical="bottom"/>
    </xf>
    <xf borderId="12" fillId="18" fontId="1" numFmtId="0" xfId="0" applyAlignment="1" applyBorder="1" applyFill="1" applyFont="1">
      <alignment vertical="bottom"/>
    </xf>
    <xf borderId="12" fillId="19" fontId="1" numFmtId="0" xfId="0" applyAlignment="1" applyBorder="1" applyFill="1" applyFont="1">
      <alignment vertical="bottom"/>
    </xf>
    <xf borderId="12" fillId="20" fontId="1" numFmtId="0" xfId="0" applyAlignment="1" applyBorder="1" applyFill="1" applyFont="1">
      <alignment vertical="bottom"/>
    </xf>
    <xf borderId="12" fillId="21" fontId="1" numFmtId="0" xfId="0" applyAlignment="1" applyBorder="1" applyFill="1" applyFont="1">
      <alignment vertical="bottom"/>
    </xf>
    <xf borderId="1" fillId="21" fontId="1" numFmtId="0" xfId="0" applyAlignment="1" applyBorder="1" applyFill="1" applyFont="1">
      <alignment horizontal="center"/>
    </xf>
    <xf borderId="12" fillId="22" fontId="1" numFmtId="0" xfId="0" applyAlignment="1" applyBorder="1" applyFill="1" applyFont="1">
      <alignment vertical="bottom"/>
    </xf>
    <xf borderId="0" fillId="0" fontId="5" numFmtId="0" xfId="0" applyAlignment="1" applyFont="1">
      <alignment readingOrder="0"/>
    </xf>
    <xf borderId="12" fillId="23" fontId="1" numFmtId="0" xfId="0" applyAlignment="1" applyBorder="1" applyFill="1" applyFont="1">
      <alignment vertical="bottom"/>
    </xf>
    <xf borderId="1" fillId="24" fontId="1" numFmtId="0" xfId="0" applyBorder="1" applyFill="1" applyFont="1"/>
    <xf borderId="1" fillId="24" fontId="1" numFmtId="0" xfId="0" applyAlignment="1" applyBorder="1" applyFill="1" applyFont="1">
      <alignment readingOrder="0"/>
    </xf>
    <xf borderId="1" fillId="24" fontId="1" numFmtId="0" xfId="0" applyAlignment="1" applyBorder="1" applyFill="1" applyFont="1">
      <alignment horizontal="center" shrinkToFit="0" wrapText="1"/>
    </xf>
    <xf borderId="12" fillId="25" fontId="1" numFmtId="0" xfId="0" applyAlignment="1" applyBorder="1" applyFill="1" applyFont="1">
      <alignment vertical="bottom"/>
    </xf>
    <xf borderId="12" fillId="26" fontId="1" numFmtId="0" xfId="0" applyAlignment="1" applyBorder="1" applyFill="1" applyFont="1">
      <alignment vertical="bottom"/>
    </xf>
    <xf borderId="1" fillId="0" fontId="1" numFmtId="9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1" width="62.29"/>
    <col customWidth="1" min="2" max="2" width="7.43"/>
    <col customWidth="1" min="3" max="3" width="10.71"/>
    <col customWidth="1" min="4" max="4" width="12.86"/>
    <col customWidth="1" min="5" max="5" width="9.14"/>
    <col customWidth="1" min="6" max="6" width="8.14"/>
    <col customWidth="1" min="7" max="7" width="12.0"/>
    <col customWidth="1" min="8" max="8" width="5.0"/>
    <col customWidth="1" min="9" max="10" width="23.29"/>
    <col customWidth="1" min="11" max="11" width="29.71"/>
    <col customWidth="1" min="12" max="27" width="10.71"/>
  </cols>
  <sheetData>
    <row r="1" ht="14.25" customHeight="1"/>
    <row r="2" ht="14.25" customHeight="1">
      <c r="A2" s="2" t="s">
        <v>0</v>
      </c>
      <c r="B2" s="4"/>
      <c r="C2" s="4"/>
      <c r="D2" s="5"/>
    </row>
    <row r="3" ht="14.25" customHeight="1"/>
    <row r="4">
      <c r="A4" s="6" t="s">
        <v>8</v>
      </c>
      <c r="B4" s="9" t="s">
        <v>9</v>
      </c>
      <c r="C4" s="11" t="s">
        <v>10</v>
      </c>
      <c r="D4" s="12"/>
      <c r="E4" s="12"/>
      <c r="F4" s="12"/>
      <c r="G4" s="14"/>
      <c r="I4" s="15"/>
      <c r="J4" s="11" t="s">
        <v>14</v>
      </c>
      <c r="K4" s="14"/>
    </row>
    <row r="5">
      <c r="A5" s="18" t="s">
        <v>15</v>
      </c>
      <c r="B5" s="19">
        <v>18.0</v>
      </c>
      <c r="C5" s="20" t="s">
        <v>12</v>
      </c>
      <c r="D5" s="20" t="s">
        <v>16</v>
      </c>
      <c r="E5" s="20" t="s">
        <v>17</v>
      </c>
      <c r="F5" s="20" t="s">
        <v>18</v>
      </c>
      <c r="G5" s="20" t="s">
        <v>19</v>
      </c>
      <c r="I5" s="1" t="s">
        <v>1</v>
      </c>
      <c r="J5" s="1" t="s">
        <v>20</v>
      </c>
      <c r="K5" s="1" t="s">
        <v>21</v>
      </c>
    </row>
    <row r="6" outlineLevel="1">
      <c r="A6" s="21" t="s">
        <v>22</v>
      </c>
      <c r="B6" s="13">
        <v>3.0</v>
      </c>
      <c r="C6" s="23">
        <v>20.0</v>
      </c>
      <c r="D6" s="23">
        <v>4.0</v>
      </c>
      <c r="E6" s="23">
        <v>0.0</v>
      </c>
      <c r="F6" s="23">
        <v>0.0</v>
      </c>
      <c r="G6" s="23">
        <v>0.0</v>
      </c>
      <c r="I6" s="6" t="s">
        <v>11</v>
      </c>
      <c r="J6" s="6" t="s">
        <v>12</v>
      </c>
      <c r="K6" s="13" t="s">
        <v>26</v>
      </c>
    </row>
    <row r="7" outlineLevel="1">
      <c r="A7" s="21" t="s">
        <v>27</v>
      </c>
      <c r="B7" s="13">
        <v>1.0</v>
      </c>
      <c r="C7" s="23">
        <v>8.0</v>
      </c>
      <c r="D7" s="23">
        <v>0.0</v>
      </c>
      <c r="E7" s="23">
        <v>0.0</v>
      </c>
      <c r="F7" s="23">
        <v>0.0</v>
      </c>
      <c r="G7" s="23">
        <v>0.0</v>
      </c>
      <c r="I7" s="6" t="s">
        <v>25</v>
      </c>
      <c r="J7" s="6" t="s">
        <v>16</v>
      </c>
      <c r="K7" s="24" t="s">
        <v>28</v>
      </c>
    </row>
    <row r="8" outlineLevel="1">
      <c r="A8" s="21" t="s">
        <v>29</v>
      </c>
      <c r="B8" s="13">
        <v>3.0</v>
      </c>
      <c r="C8" s="23">
        <v>12.0</v>
      </c>
      <c r="D8" s="23">
        <v>12.0</v>
      </c>
      <c r="E8" s="23">
        <v>0.0</v>
      </c>
      <c r="F8" s="23">
        <v>0.0</v>
      </c>
      <c r="G8" s="23">
        <v>0.0</v>
      </c>
      <c r="I8" s="6" t="s">
        <v>17</v>
      </c>
      <c r="J8" s="6" t="s">
        <v>30</v>
      </c>
      <c r="K8" s="13" t="s">
        <v>31</v>
      </c>
    </row>
    <row r="9" outlineLevel="1">
      <c r="A9" s="21" t="s">
        <v>32</v>
      </c>
      <c r="B9" s="13">
        <v>1.0</v>
      </c>
      <c r="C9" s="23">
        <v>8.0</v>
      </c>
      <c r="D9" s="23">
        <v>0.0</v>
      </c>
      <c r="E9" s="23">
        <v>0.0</v>
      </c>
      <c r="F9" s="23">
        <v>0.0</v>
      </c>
      <c r="G9" s="23">
        <v>0.0</v>
      </c>
      <c r="I9" s="6" t="s">
        <v>18</v>
      </c>
      <c r="J9" s="6" t="s">
        <v>33</v>
      </c>
      <c r="K9" s="13" t="s">
        <v>34</v>
      </c>
    </row>
    <row r="10" outlineLevel="1">
      <c r="A10" s="21" t="s">
        <v>35</v>
      </c>
      <c r="B10" s="13">
        <v>3.0</v>
      </c>
      <c r="C10" s="23">
        <v>16.0</v>
      </c>
      <c r="D10" s="23">
        <v>8.0</v>
      </c>
      <c r="E10" s="23">
        <v>0.0</v>
      </c>
      <c r="F10" s="23">
        <v>0.0</v>
      </c>
      <c r="G10" s="23">
        <v>0.0</v>
      </c>
      <c r="I10" s="6" t="s">
        <v>36</v>
      </c>
      <c r="J10" s="6" t="s">
        <v>19</v>
      </c>
      <c r="K10" s="13" t="s">
        <v>37</v>
      </c>
    </row>
    <row r="11" outlineLevel="1">
      <c r="A11" s="21" t="s">
        <v>38</v>
      </c>
      <c r="B11" s="13">
        <v>2.0</v>
      </c>
      <c r="C11" s="23">
        <v>12.0</v>
      </c>
      <c r="D11" s="23">
        <v>4.0</v>
      </c>
      <c r="E11" s="23">
        <v>0.0</v>
      </c>
      <c r="F11" s="23">
        <v>0.0</v>
      </c>
      <c r="G11" s="23">
        <v>0.0</v>
      </c>
      <c r="I11" s="25"/>
      <c r="J11" s="26"/>
      <c r="K11" s="26"/>
    </row>
    <row r="12" outlineLevel="1">
      <c r="A12" s="21" t="s">
        <v>39</v>
      </c>
      <c r="B12" s="13">
        <v>5.0</v>
      </c>
      <c r="C12" s="23">
        <v>20.0</v>
      </c>
      <c r="D12" s="23">
        <v>20.0</v>
      </c>
      <c r="E12" s="23">
        <v>0.0</v>
      </c>
      <c r="F12" s="23">
        <v>0.0</v>
      </c>
      <c r="G12" s="23">
        <v>0.0</v>
      </c>
      <c r="I12" s="25"/>
      <c r="J12" s="25"/>
      <c r="K12" s="25"/>
    </row>
    <row r="13">
      <c r="A13" s="29" t="s">
        <v>40</v>
      </c>
      <c r="B13" s="19">
        <v>20.0</v>
      </c>
      <c r="C13" s="20" t="s">
        <v>12</v>
      </c>
      <c r="D13" s="20" t="s">
        <v>16</v>
      </c>
      <c r="E13" s="20" t="s">
        <v>17</v>
      </c>
      <c r="F13" s="20" t="s">
        <v>18</v>
      </c>
      <c r="G13" s="20" t="s">
        <v>19</v>
      </c>
    </row>
    <row r="14" outlineLevel="1">
      <c r="A14" s="30" t="s">
        <v>41</v>
      </c>
      <c r="B14" s="13">
        <v>3.0</v>
      </c>
      <c r="C14" s="31">
        <v>8.0</v>
      </c>
      <c r="D14" s="31">
        <v>16.0</v>
      </c>
      <c r="E14" s="31">
        <v>0.0</v>
      </c>
      <c r="F14" s="31">
        <v>0.0</v>
      </c>
      <c r="G14" s="31">
        <v>0.0</v>
      </c>
    </row>
    <row r="15" outlineLevel="1">
      <c r="A15" s="32" t="s">
        <v>42</v>
      </c>
      <c r="B15" s="13">
        <v>3.0</v>
      </c>
      <c r="C15" s="31">
        <v>4.0</v>
      </c>
      <c r="D15" s="31">
        <v>20.0</v>
      </c>
      <c r="E15" s="31">
        <v>0.0</v>
      </c>
      <c r="F15" s="31">
        <v>0.0</v>
      </c>
      <c r="G15" s="31">
        <v>0.0</v>
      </c>
    </row>
    <row r="16" outlineLevel="1">
      <c r="A16" s="30" t="s">
        <v>43</v>
      </c>
      <c r="B16" s="13">
        <v>3.0</v>
      </c>
      <c r="C16" s="31">
        <v>4.0</v>
      </c>
      <c r="D16" s="31">
        <v>20.0</v>
      </c>
      <c r="E16" s="31">
        <v>0.0</v>
      </c>
      <c r="F16" s="31">
        <v>0.0</v>
      </c>
      <c r="G16" s="31">
        <v>0.0</v>
      </c>
    </row>
    <row r="17" outlineLevel="1">
      <c r="A17" s="30" t="s">
        <v>44</v>
      </c>
      <c r="B17" s="13">
        <v>2.0</v>
      </c>
      <c r="C17" s="31">
        <v>0.0</v>
      </c>
      <c r="D17" s="31">
        <v>4.0</v>
      </c>
      <c r="E17" s="31">
        <v>0.0</v>
      </c>
      <c r="F17" s="31">
        <v>0.0</v>
      </c>
      <c r="G17" s="31">
        <v>12.0</v>
      </c>
    </row>
    <row r="18" outlineLevel="1">
      <c r="A18" s="30" t="s">
        <v>46</v>
      </c>
      <c r="B18" s="13">
        <v>3.0</v>
      </c>
      <c r="C18" s="31">
        <v>10.0</v>
      </c>
      <c r="D18" s="31">
        <v>14.0</v>
      </c>
      <c r="E18" s="31">
        <v>0.0</v>
      </c>
      <c r="F18" s="31">
        <v>0.0</v>
      </c>
      <c r="G18" s="31">
        <v>0.0</v>
      </c>
    </row>
    <row r="19" outlineLevel="1">
      <c r="A19" s="30" t="s">
        <v>47</v>
      </c>
      <c r="B19" s="13">
        <v>3.0</v>
      </c>
      <c r="C19" s="31">
        <v>0.0</v>
      </c>
      <c r="D19" s="31">
        <v>0.0</v>
      </c>
      <c r="E19" s="31">
        <v>0.0</v>
      </c>
      <c r="F19" s="31">
        <v>0.0</v>
      </c>
      <c r="G19" s="31">
        <v>24.0</v>
      </c>
    </row>
    <row r="20" outlineLevel="1">
      <c r="A20" s="30" t="s">
        <v>48</v>
      </c>
      <c r="B20" s="13">
        <v>3.0</v>
      </c>
      <c r="C20" s="31">
        <v>0.0</v>
      </c>
      <c r="D20" s="31">
        <v>0.0</v>
      </c>
      <c r="E20" s="31">
        <v>0.0</v>
      </c>
      <c r="F20" s="31">
        <v>0.0</v>
      </c>
      <c r="G20" s="31">
        <v>24.0</v>
      </c>
    </row>
    <row r="21">
      <c r="A21" s="29" t="s">
        <v>49</v>
      </c>
      <c r="B21" s="19">
        <v>46.0</v>
      </c>
      <c r="C21" s="20" t="s">
        <v>12</v>
      </c>
      <c r="D21" s="20" t="s">
        <v>16</v>
      </c>
      <c r="E21" s="20" t="s">
        <v>17</v>
      </c>
      <c r="F21" s="20" t="s">
        <v>18</v>
      </c>
      <c r="G21" s="20" t="s">
        <v>19</v>
      </c>
    </row>
    <row r="22" outlineLevel="1">
      <c r="A22" s="33" t="s">
        <v>50</v>
      </c>
      <c r="B22" s="13">
        <v>2.0</v>
      </c>
      <c r="C22" s="31">
        <v>2.0</v>
      </c>
      <c r="D22" s="31">
        <v>16.0</v>
      </c>
      <c r="E22" s="31">
        <v>8.0</v>
      </c>
      <c r="F22" s="31">
        <v>0.0</v>
      </c>
      <c r="G22" s="31">
        <v>0.0</v>
      </c>
    </row>
    <row r="23" outlineLevel="1">
      <c r="A23" s="33" t="s">
        <v>51</v>
      </c>
      <c r="B23" s="13">
        <v>3.0</v>
      </c>
      <c r="C23" s="31">
        <v>0.0</v>
      </c>
      <c r="D23" s="31">
        <v>8.0</v>
      </c>
      <c r="E23" s="31">
        <v>24.0</v>
      </c>
      <c r="F23" s="31">
        <v>0.0</v>
      </c>
      <c r="G23" s="31">
        <v>0.0</v>
      </c>
    </row>
    <row r="24" outlineLevel="1">
      <c r="A24" s="33" t="s">
        <v>53</v>
      </c>
      <c r="B24" s="13">
        <v>4.0</v>
      </c>
      <c r="C24" s="31">
        <v>0.0</v>
      </c>
      <c r="D24" s="31">
        <v>8.0</v>
      </c>
      <c r="E24" s="31">
        <v>32.0</v>
      </c>
      <c r="F24" s="31">
        <v>0.0</v>
      </c>
      <c r="G24" s="31">
        <v>0.0</v>
      </c>
    </row>
    <row r="25" outlineLevel="1">
      <c r="A25" s="33" t="s">
        <v>54</v>
      </c>
      <c r="B25" s="13">
        <v>4.0</v>
      </c>
      <c r="C25" s="31">
        <v>2.0</v>
      </c>
      <c r="D25" s="31">
        <v>32.0</v>
      </c>
      <c r="E25" s="31">
        <v>8.0</v>
      </c>
      <c r="F25" s="31">
        <v>0.0</v>
      </c>
      <c r="G25" s="31">
        <v>0.0</v>
      </c>
    </row>
    <row r="26" outlineLevel="1">
      <c r="A26" s="33" t="s">
        <v>55</v>
      </c>
      <c r="B26" s="13">
        <v>4.0</v>
      </c>
      <c r="C26" s="31">
        <v>0.0</v>
      </c>
      <c r="D26" s="31">
        <v>32.0</v>
      </c>
      <c r="E26" s="31">
        <v>8.0</v>
      </c>
      <c r="F26" s="31">
        <v>0.0</v>
      </c>
      <c r="G26" s="31">
        <v>0.0</v>
      </c>
    </row>
    <row r="27" outlineLevel="1">
      <c r="A27" s="33" t="s">
        <v>56</v>
      </c>
      <c r="B27" s="13">
        <v>3.0</v>
      </c>
      <c r="C27" s="31">
        <v>0.0</v>
      </c>
      <c r="D27" s="31">
        <v>24.0</v>
      </c>
      <c r="E27" s="31">
        <v>4.0</v>
      </c>
      <c r="F27" s="31">
        <v>0.0</v>
      </c>
      <c r="G27" s="31">
        <v>0.0</v>
      </c>
    </row>
    <row r="28" outlineLevel="1">
      <c r="A28" s="33" t="s">
        <v>57</v>
      </c>
      <c r="B28" s="13">
        <v>5.0</v>
      </c>
      <c r="C28" s="31">
        <v>2.0</v>
      </c>
      <c r="D28" s="31">
        <v>40.0</v>
      </c>
      <c r="E28" s="31">
        <v>8.0</v>
      </c>
      <c r="F28" s="31">
        <v>0.0</v>
      </c>
      <c r="G28" s="31">
        <v>4.0</v>
      </c>
    </row>
    <row r="29" outlineLevel="1">
      <c r="A29" s="33" t="s">
        <v>58</v>
      </c>
      <c r="B29" s="13">
        <v>4.0</v>
      </c>
      <c r="C29" s="31">
        <v>0.0</v>
      </c>
      <c r="D29" s="31">
        <v>32.0</v>
      </c>
      <c r="E29" s="31">
        <v>8.0</v>
      </c>
      <c r="F29" s="31">
        <v>0.0</v>
      </c>
      <c r="G29" s="31">
        <v>4.0</v>
      </c>
    </row>
    <row r="30" outlineLevel="1">
      <c r="A30" s="33" t="s">
        <v>59</v>
      </c>
      <c r="B30" s="13">
        <v>4.0</v>
      </c>
      <c r="C30" s="31">
        <v>4.0</v>
      </c>
      <c r="D30" s="31">
        <v>32.0</v>
      </c>
      <c r="E30" s="31">
        <v>8.0</v>
      </c>
      <c r="F30" s="31">
        <v>0.0</v>
      </c>
      <c r="G30" s="31">
        <v>0.0</v>
      </c>
    </row>
    <row r="31" outlineLevel="1">
      <c r="A31" s="33" t="s">
        <v>61</v>
      </c>
      <c r="B31" s="13">
        <v>5.0</v>
      </c>
      <c r="C31" s="31">
        <v>2.0</v>
      </c>
      <c r="D31" s="31">
        <v>40.0</v>
      </c>
      <c r="E31" s="31">
        <v>8.0</v>
      </c>
      <c r="F31" s="31">
        <v>0.0</v>
      </c>
      <c r="G31" s="31">
        <v>0.0</v>
      </c>
    </row>
    <row r="32" outlineLevel="1">
      <c r="A32" s="33" t="s">
        <v>64</v>
      </c>
      <c r="B32" s="13">
        <v>4.0</v>
      </c>
      <c r="C32" s="31">
        <v>0.0</v>
      </c>
      <c r="D32" s="31">
        <v>32.0</v>
      </c>
      <c r="E32" s="31">
        <v>4.0</v>
      </c>
      <c r="F32" s="31">
        <v>0.0</v>
      </c>
      <c r="G32" s="31">
        <v>4.0</v>
      </c>
    </row>
    <row r="33" outlineLevel="1">
      <c r="A33" s="33" t="s">
        <v>65</v>
      </c>
      <c r="B33" s="13">
        <v>5.0</v>
      </c>
      <c r="C33" s="31">
        <v>2.0</v>
      </c>
      <c r="D33" s="31">
        <v>40.0</v>
      </c>
      <c r="E33" s="31">
        <v>8.0</v>
      </c>
      <c r="F33" s="31">
        <v>0.0</v>
      </c>
      <c r="G33" s="31">
        <v>0.0</v>
      </c>
    </row>
    <row r="34" outlineLevel="1">
      <c r="A34" s="33" t="s">
        <v>66</v>
      </c>
      <c r="B34" s="13">
        <v>3.0</v>
      </c>
      <c r="C34" s="31">
        <v>2.0</v>
      </c>
      <c r="D34" s="31">
        <v>24.0</v>
      </c>
      <c r="E34" s="31">
        <v>4.0</v>
      </c>
      <c r="F34" s="31">
        <v>0.0</v>
      </c>
      <c r="G34" s="31">
        <v>0.0</v>
      </c>
    </row>
    <row r="35" outlineLevel="1">
      <c r="A35" s="34" t="s">
        <v>67</v>
      </c>
      <c r="B35" s="35">
        <v>18.0</v>
      </c>
      <c r="C35" s="36"/>
      <c r="D35" s="36"/>
      <c r="E35" s="36"/>
      <c r="F35" s="36"/>
      <c r="G35" s="36"/>
    </row>
    <row r="36" outlineLevel="1">
      <c r="A36" s="37" t="s">
        <v>68</v>
      </c>
      <c r="B36" s="13">
        <v>2.0</v>
      </c>
      <c r="C36" s="31">
        <v>16.0</v>
      </c>
      <c r="D36" s="31">
        <v>0.0</v>
      </c>
      <c r="E36" s="31">
        <v>0.0</v>
      </c>
      <c r="F36" s="31">
        <v>0.0</v>
      </c>
      <c r="G36" s="31">
        <v>0.0</v>
      </c>
    </row>
    <row r="37" outlineLevel="1">
      <c r="A37" s="37" t="s">
        <v>69</v>
      </c>
      <c r="B37" s="13">
        <v>2.0</v>
      </c>
      <c r="C37" s="31">
        <v>8.0</v>
      </c>
      <c r="D37" s="31">
        <v>8.0</v>
      </c>
      <c r="E37" s="31">
        <v>0.0</v>
      </c>
      <c r="F37" s="31">
        <v>0.0</v>
      </c>
      <c r="G37" s="31">
        <v>0.0</v>
      </c>
    </row>
    <row r="38" outlineLevel="1">
      <c r="A38" s="37" t="s">
        <v>70</v>
      </c>
      <c r="B38" s="13">
        <v>3.0</v>
      </c>
      <c r="C38" s="31">
        <v>12.0</v>
      </c>
      <c r="D38" s="31">
        <v>12.0</v>
      </c>
      <c r="E38" s="31">
        <v>0.0</v>
      </c>
      <c r="F38" s="31">
        <v>0.0</v>
      </c>
      <c r="G38" s="31">
        <v>0.0</v>
      </c>
    </row>
    <row r="39" outlineLevel="1">
      <c r="A39" s="37" t="s">
        <v>71</v>
      </c>
      <c r="B39" s="13">
        <v>3.0</v>
      </c>
      <c r="C39" s="31">
        <v>12.0</v>
      </c>
      <c r="D39" s="31">
        <v>12.0</v>
      </c>
      <c r="E39" s="31">
        <v>0.0</v>
      </c>
      <c r="F39" s="31">
        <v>0.0</v>
      </c>
      <c r="G39" s="31">
        <v>0.0</v>
      </c>
    </row>
    <row r="40" outlineLevel="1">
      <c r="A40" s="37" t="s">
        <v>72</v>
      </c>
      <c r="B40" s="13">
        <v>3.0</v>
      </c>
      <c r="C40" s="31">
        <v>12.0</v>
      </c>
      <c r="D40" s="31">
        <v>12.0</v>
      </c>
      <c r="E40" s="31">
        <v>0.0</v>
      </c>
      <c r="F40" s="31">
        <v>0.0</v>
      </c>
      <c r="G40" s="31">
        <v>0.0</v>
      </c>
    </row>
    <row r="41" outlineLevel="1">
      <c r="A41" s="37" t="s">
        <v>73</v>
      </c>
      <c r="B41" s="13">
        <v>3.0</v>
      </c>
      <c r="C41" s="31">
        <v>16.0</v>
      </c>
      <c r="D41" s="31">
        <v>8.0</v>
      </c>
      <c r="E41" s="31">
        <v>0.0</v>
      </c>
      <c r="F41" s="31">
        <v>0.0</v>
      </c>
      <c r="G41" s="31">
        <v>0.0</v>
      </c>
    </row>
    <row r="42" outlineLevel="1">
      <c r="A42" s="37" t="s">
        <v>74</v>
      </c>
      <c r="B42" s="13">
        <v>2.0</v>
      </c>
      <c r="C42" s="31">
        <v>12.0</v>
      </c>
      <c r="D42" s="31">
        <v>4.0</v>
      </c>
      <c r="E42" s="31">
        <v>0.0</v>
      </c>
      <c r="F42" s="31">
        <v>0.0</v>
      </c>
      <c r="G42" s="31">
        <v>0.0</v>
      </c>
    </row>
    <row r="43" outlineLevel="1">
      <c r="A43" s="38" t="s">
        <v>75</v>
      </c>
      <c r="B43" s="35">
        <v>14.0</v>
      </c>
      <c r="C43" s="39"/>
      <c r="D43" s="39"/>
      <c r="E43" s="39"/>
      <c r="F43" s="39"/>
      <c r="G43" s="39"/>
    </row>
    <row r="44" outlineLevel="1">
      <c r="A44" s="40" t="s">
        <v>76</v>
      </c>
      <c r="B44" s="13">
        <v>4.0</v>
      </c>
      <c r="C44" s="31">
        <v>2.0</v>
      </c>
      <c r="D44" s="31">
        <v>32.0</v>
      </c>
      <c r="E44" s="31">
        <v>8.0</v>
      </c>
      <c r="F44" s="31">
        <v>0.0</v>
      </c>
      <c r="G44" s="31">
        <v>8.0</v>
      </c>
    </row>
    <row r="45" outlineLevel="1">
      <c r="A45" s="40" t="s">
        <v>77</v>
      </c>
      <c r="B45" s="13">
        <v>3.0</v>
      </c>
      <c r="C45" s="31">
        <v>0.0</v>
      </c>
      <c r="D45" s="31">
        <v>24.0</v>
      </c>
      <c r="E45" s="31">
        <v>8.0</v>
      </c>
      <c r="F45" s="31">
        <v>0.0</v>
      </c>
      <c r="G45" s="31">
        <v>4.0</v>
      </c>
    </row>
    <row r="46" outlineLevel="1">
      <c r="A46" s="40" t="s">
        <v>78</v>
      </c>
      <c r="B46" s="13">
        <v>4.0</v>
      </c>
      <c r="C46" s="31">
        <v>2.0</v>
      </c>
      <c r="D46" s="31">
        <v>32.0</v>
      </c>
      <c r="E46" s="31">
        <v>8.0</v>
      </c>
      <c r="F46" s="31">
        <v>0.0</v>
      </c>
      <c r="G46" s="31">
        <v>4.0</v>
      </c>
    </row>
    <row r="47" outlineLevel="1">
      <c r="A47" s="40" t="s">
        <v>79</v>
      </c>
      <c r="B47" s="13">
        <v>3.0</v>
      </c>
      <c r="C47" s="31">
        <v>0.0</v>
      </c>
      <c r="D47" s="31">
        <v>24.0</v>
      </c>
      <c r="E47" s="31">
        <v>4.0</v>
      </c>
      <c r="F47" s="31">
        <v>0.0</v>
      </c>
      <c r="G47" s="31">
        <v>4.0</v>
      </c>
    </row>
    <row r="48" outlineLevel="1">
      <c r="A48" s="34" t="s">
        <v>80</v>
      </c>
      <c r="B48" s="36"/>
      <c r="C48" s="39"/>
      <c r="D48" s="39"/>
      <c r="E48" s="39"/>
      <c r="F48" s="39"/>
      <c r="G48" s="39"/>
    </row>
    <row r="49" outlineLevel="1">
      <c r="A49" s="41" t="s">
        <v>81</v>
      </c>
      <c r="B49" s="13">
        <v>4.0</v>
      </c>
      <c r="C49" s="31">
        <v>0.0</v>
      </c>
      <c r="D49" s="31">
        <v>32.0</v>
      </c>
      <c r="E49" s="31">
        <v>8.0</v>
      </c>
      <c r="F49" s="31">
        <v>0.0</v>
      </c>
      <c r="G49" s="31">
        <v>4.0</v>
      </c>
    </row>
    <row r="50" outlineLevel="1">
      <c r="A50" s="41" t="s">
        <v>82</v>
      </c>
      <c r="B50" s="13">
        <v>3.0</v>
      </c>
      <c r="C50" s="31">
        <v>0.0</v>
      </c>
      <c r="D50" s="31">
        <v>24.0</v>
      </c>
      <c r="E50" s="31">
        <v>8.0</v>
      </c>
      <c r="F50" s="31">
        <v>0.0</v>
      </c>
      <c r="G50" s="31">
        <v>0.0</v>
      </c>
    </row>
    <row r="51" outlineLevel="1">
      <c r="A51" s="41" t="s">
        <v>83</v>
      </c>
      <c r="B51" s="13">
        <v>3.0</v>
      </c>
      <c r="C51" s="31">
        <v>2.0</v>
      </c>
      <c r="D51" s="31">
        <v>24.0</v>
      </c>
      <c r="E51" s="31">
        <v>4.0</v>
      </c>
      <c r="F51" s="31">
        <v>0.0</v>
      </c>
      <c r="G51" s="31">
        <v>0.0</v>
      </c>
    </row>
    <row r="52" outlineLevel="1">
      <c r="A52" s="34" t="s">
        <v>84</v>
      </c>
      <c r="B52" s="35">
        <v>12.0</v>
      </c>
      <c r="C52" s="39"/>
      <c r="D52" s="39"/>
      <c r="E52" s="39"/>
      <c r="F52" s="39"/>
      <c r="G52" s="39"/>
    </row>
    <row r="53" outlineLevel="1">
      <c r="A53" s="42" t="s">
        <v>85</v>
      </c>
      <c r="B53" s="13">
        <v>4.0</v>
      </c>
      <c r="C53" s="31">
        <v>2.0</v>
      </c>
      <c r="D53" s="31">
        <v>32.0</v>
      </c>
      <c r="E53" s="31">
        <v>8.0</v>
      </c>
      <c r="F53" s="31">
        <v>0.0</v>
      </c>
      <c r="G53" s="31">
        <v>4.0</v>
      </c>
    </row>
    <row r="54" outlineLevel="1">
      <c r="A54" s="43" t="s">
        <v>86</v>
      </c>
      <c r="B54" s="13">
        <v>4.0</v>
      </c>
      <c r="C54" s="31">
        <v>2.0</v>
      </c>
      <c r="D54" s="31">
        <v>32.0</v>
      </c>
      <c r="E54" s="31">
        <v>8.0</v>
      </c>
      <c r="F54" s="31">
        <v>0.0</v>
      </c>
      <c r="G54" s="31">
        <v>0.0</v>
      </c>
    </row>
    <row r="55" outlineLevel="1">
      <c r="A55" s="42" t="s">
        <v>87</v>
      </c>
      <c r="B55" s="13">
        <v>4.0</v>
      </c>
      <c r="C55" s="31">
        <v>2.0</v>
      </c>
      <c r="D55" s="31">
        <v>32.0</v>
      </c>
      <c r="E55" s="31">
        <v>8.0</v>
      </c>
      <c r="F55" s="31">
        <v>0.0</v>
      </c>
      <c r="G55" s="31">
        <v>4.0</v>
      </c>
    </row>
    <row r="56" outlineLevel="1">
      <c r="A56" s="34" t="s">
        <v>88</v>
      </c>
      <c r="B56" s="35">
        <v>8.0</v>
      </c>
      <c r="C56" s="39"/>
      <c r="D56" s="39"/>
      <c r="E56" s="39"/>
      <c r="F56" s="39"/>
      <c r="G56" s="39"/>
    </row>
    <row r="57" outlineLevel="1">
      <c r="A57" s="44" t="s">
        <v>89</v>
      </c>
      <c r="B57" s="13">
        <v>4.0</v>
      </c>
      <c r="C57" s="31">
        <v>2.0</v>
      </c>
      <c r="D57" s="31">
        <v>32.0</v>
      </c>
      <c r="E57" s="31">
        <v>8.0</v>
      </c>
      <c r="F57" s="31">
        <v>0.0</v>
      </c>
      <c r="G57" s="31">
        <v>4.0</v>
      </c>
    </row>
    <row r="58" outlineLevel="1">
      <c r="A58" s="44" t="s">
        <v>91</v>
      </c>
      <c r="B58" s="13">
        <v>4.0</v>
      </c>
      <c r="C58" s="31">
        <v>2.0</v>
      </c>
      <c r="D58" s="31">
        <v>32.0</v>
      </c>
      <c r="E58" s="31">
        <v>8.0</v>
      </c>
      <c r="F58" s="31">
        <v>0.0</v>
      </c>
      <c r="G58" s="31">
        <v>0.0</v>
      </c>
    </row>
    <row r="59" outlineLevel="1">
      <c r="A59" s="34" t="s">
        <v>92</v>
      </c>
      <c r="B59" s="35">
        <v>10.0</v>
      </c>
      <c r="C59" s="39"/>
      <c r="D59" s="39"/>
      <c r="E59" s="39"/>
      <c r="F59" s="39"/>
      <c r="G59" s="39"/>
    </row>
    <row r="60" outlineLevel="1">
      <c r="A60" s="30" t="s">
        <v>93</v>
      </c>
      <c r="B60" s="13">
        <v>4.0</v>
      </c>
      <c r="C60" s="31">
        <v>2.0</v>
      </c>
      <c r="D60" s="31">
        <v>32.0</v>
      </c>
      <c r="E60" s="31">
        <v>8.0</v>
      </c>
      <c r="F60" s="31">
        <v>0.0</v>
      </c>
      <c r="G60" s="31">
        <v>0.0</v>
      </c>
    </row>
    <row r="61" outlineLevel="1">
      <c r="A61" s="30" t="s">
        <v>95</v>
      </c>
      <c r="B61" s="13">
        <v>3.0</v>
      </c>
      <c r="C61" s="31">
        <v>0.0</v>
      </c>
      <c r="D61" s="31">
        <v>24.0</v>
      </c>
      <c r="E61" s="31">
        <v>4.0</v>
      </c>
      <c r="F61" s="31">
        <v>0.0</v>
      </c>
      <c r="G61" s="31">
        <v>0.0</v>
      </c>
    </row>
    <row r="62" outlineLevel="1">
      <c r="A62" s="30" t="s">
        <v>96</v>
      </c>
      <c r="B62" s="13">
        <v>3.0</v>
      </c>
      <c r="C62" s="31">
        <v>0.0</v>
      </c>
      <c r="D62" s="31">
        <v>24.0</v>
      </c>
      <c r="E62" s="31">
        <v>4.0</v>
      </c>
      <c r="F62" s="31">
        <v>0.0</v>
      </c>
      <c r="G62" s="31">
        <v>4.0</v>
      </c>
    </row>
    <row r="63" outlineLevel="1">
      <c r="A63" s="34" t="s">
        <v>97</v>
      </c>
      <c r="B63" s="35">
        <v>9.0</v>
      </c>
      <c r="C63" s="39"/>
      <c r="D63" s="39"/>
      <c r="E63" s="39"/>
      <c r="F63" s="39"/>
      <c r="G63" s="39"/>
    </row>
    <row r="64" outlineLevel="1">
      <c r="A64" s="47" t="s">
        <v>98</v>
      </c>
      <c r="B64" s="13">
        <v>5.0</v>
      </c>
      <c r="C64" s="31">
        <v>2.0</v>
      </c>
      <c r="D64" s="31">
        <v>40.0</v>
      </c>
      <c r="E64" s="31">
        <v>8.0</v>
      </c>
      <c r="F64" s="31">
        <v>0.0</v>
      </c>
      <c r="G64" s="31">
        <v>0.0</v>
      </c>
    </row>
    <row r="65" outlineLevel="1">
      <c r="A65" s="47" t="s">
        <v>101</v>
      </c>
      <c r="B65" s="13">
        <v>4.0</v>
      </c>
      <c r="C65" s="31">
        <v>2.0</v>
      </c>
      <c r="D65" s="31">
        <v>32.0</v>
      </c>
      <c r="E65" s="31">
        <v>4.0</v>
      </c>
      <c r="F65" s="31">
        <v>0.0</v>
      </c>
      <c r="G65" s="31">
        <v>0.0</v>
      </c>
    </row>
    <row r="66" outlineLevel="1">
      <c r="A66" s="48" t="s">
        <v>102</v>
      </c>
      <c r="B66" s="19"/>
      <c r="C66" s="20" t="s">
        <v>12</v>
      </c>
      <c r="D66" s="20" t="s">
        <v>16</v>
      </c>
      <c r="E66" s="20" t="s">
        <v>17</v>
      </c>
      <c r="F66" s="20" t="s">
        <v>18</v>
      </c>
      <c r="G66" s="20" t="s">
        <v>19</v>
      </c>
    </row>
    <row r="67" outlineLevel="1">
      <c r="A67" s="34" t="s">
        <v>103</v>
      </c>
      <c r="B67" s="35">
        <v>7.0</v>
      </c>
      <c r="C67" s="39"/>
      <c r="D67" s="39"/>
      <c r="E67" s="39"/>
      <c r="F67" s="39"/>
      <c r="G67" s="39"/>
    </row>
    <row r="68" outlineLevel="1">
      <c r="A68" s="49" t="s">
        <v>104</v>
      </c>
      <c r="B68" s="13">
        <v>2.0</v>
      </c>
      <c r="C68" s="31">
        <v>2.0</v>
      </c>
      <c r="D68" s="31">
        <v>16.0</v>
      </c>
      <c r="E68" s="31">
        <v>4.0</v>
      </c>
      <c r="F68" s="31">
        <v>0.0</v>
      </c>
      <c r="G68" s="31">
        <v>0.0</v>
      </c>
    </row>
    <row r="69" outlineLevel="1">
      <c r="A69" s="49" t="s">
        <v>105</v>
      </c>
      <c r="B69" s="13">
        <v>2.0</v>
      </c>
      <c r="C69" s="31">
        <v>0.0</v>
      </c>
      <c r="D69" s="31">
        <v>16.0</v>
      </c>
      <c r="E69" s="31">
        <v>4.0</v>
      </c>
      <c r="F69" s="31">
        <v>0.0</v>
      </c>
      <c r="G69" s="31">
        <v>0.0</v>
      </c>
    </row>
    <row r="70" outlineLevel="1">
      <c r="A70" s="49" t="s">
        <v>106</v>
      </c>
      <c r="B70" s="13">
        <v>3.0</v>
      </c>
      <c r="C70" s="31">
        <v>2.0</v>
      </c>
      <c r="D70" s="31">
        <v>24.0</v>
      </c>
      <c r="E70" s="31">
        <v>4.0</v>
      </c>
      <c r="F70" s="31">
        <v>0.0</v>
      </c>
      <c r="G70" s="31">
        <v>0.0</v>
      </c>
    </row>
    <row r="71" outlineLevel="1">
      <c r="A71" s="34" t="s">
        <v>107</v>
      </c>
      <c r="B71" s="35">
        <v>8.0</v>
      </c>
      <c r="C71" s="39"/>
      <c r="D71" s="39"/>
      <c r="E71" s="39"/>
      <c r="F71" s="39"/>
      <c r="G71" s="39"/>
    </row>
    <row r="72" outlineLevel="1">
      <c r="A72" s="50" t="s">
        <v>108</v>
      </c>
      <c r="B72" s="13">
        <v>3.0</v>
      </c>
      <c r="C72" s="31">
        <v>2.0</v>
      </c>
      <c r="D72" s="31">
        <v>24.0</v>
      </c>
      <c r="E72" s="31">
        <v>4.0</v>
      </c>
      <c r="F72" s="31">
        <v>0.0</v>
      </c>
      <c r="G72" s="31">
        <v>0.0</v>
      </c>
    </row>
    <row r="73" outlineLevel="1">
      <c r="A73" s="50" t="s">
        <v>109</v>
      </c>
      <c r="B73" s="13">
        <v>3.0</v>
      </c>
      <c r="C73" s="31">
        <v>0.0</v>
      </c>
      <c r="D73" s="31">
        <v>24.0</v>
      </c>
      <c r="E73" s="31">
        <v>8.0</v>
      </c>
      <c r="F73" s="31">
        <v>0.0</v>
      </c>
      <c r="G73" s="31">
        <v>0.0</v>
      </c>
    </row>
    <row r="74" outlineLevel="1">
      <c r="A74" s="50" t="s">
        <v>110</v>
      </c>
      <c r="B74" s="13">
        <v>2.0</v>
      </c>
      <c r="C74" s="31">
        <v>0.0</v>
      </c>
      <c r="D74" s="31">
        <v>16.0</v>
      </c>
      <c r="E74" s="31">
        <v>4.0</v>
      </c>
      <c r="F74" s="31">
        <v>0.0</v>
      </c>
      <c r="G74" s="31">
        <v>0.0</v>
      </c>
    </row>
    <row r="75" outlineLevel="1">
      <c r="A75" s="34" t="s">
        <v>111</v>
      </c>
      <c r="B75" s="35">
        <v>5.0</v>
      </c>
      <c r="C75" s="39"/>
      <c r="D75" s="39"/>
      <c r="E75" s="39"/>
      <c r="F75" s="39"/>
      <c r="G75" s="39"/>
    </row>
    <row r="76" outlineLevel="1">
      <c r="A76" s="21" t="s">
        <v>112</v>
      </c>
      <c r="B76" s="13">
        <v>3.0</v>
      </c>
      <c r="C76" s="31">
        <v>2.0</v>
      </c>
      <c r="D76" s="31">
        <v>24.0</v>
      </c>
      <c r="E76" s="31">
        <v>4.0</v>
      </c>
      <c r="F76" s="31">
        <v>0.0</v>
      </c>
      <c r="G76" s="31">
        <v>0.0</v>
      </c>
    </row>
    <row r="77" outlineLevel="1">
      <c r="A77" s="21" t="s">
        <v>113</v>
      </c>
      <c r="B77" s="13">
        <v>2.0</v>
      </c>
      <c r="C77" s="31">
        <v>0.0</v>
      </c>
      <c r="D77" s="31">
        <v>16.0</v>
      </c>
      <c r="E77" s="31">
        <v>4.0</v>
      </c>
      <c r="F77" s="31">
        <v>0.0</v>
      </c>
      <c r="G77" s="31">
        <v>0.0</v>
      </c>
    </row>
    <row r="78" outlineLevel="1">
      <c r="A78" s="34" t="s">
        <v>114</v>
      </c>
      <c r="B78" s="35">
        <v>3.0</v>
      </c>
      <c r="C78" s="39"/>
      <c r="D78" s="39"/>
      <c r="E78" s="39"/>
      <c r="F78" s="39"/>
      <c r="G78" s="39"/>
    </row>
    <row r="79" outlineLevel="1">
      <c r="A79" s="51" t="s">
        <v>115</v>
      </c>
      <c r="B79" s="13">
        <v>3.0</v>
      </c>
      <c r="C79" s="31">
        <v>2.0</v>
      </c>
      <c r="D79" s="31">
        <v>24.0</v>
      </c>
      <c r="E79" s="31">
        <v>8.0</v>
      </c>
      <c r="F79" s="31">
        <v>0.0</v>
      </c>
      <c r="G79" s="31">
        <v>0.0</v>
      </c>
    </row>
    <row r="80" outlineLevel="1">
      <c r="A80" s="34" t="s">
        <v>116</v>
      </c>
      <c r="B80" s="35">
        <v>5.0</v>
      </c>
      <c r="C80" s="39"/>
      <c r="D80" s="39"/>
      <c r="E80" s="39"/>
      <c r="F80" s="39"/>
      <c r="G80" s="39"/>
    </row>
    <row r="81" outlineLevel="1">
      <c r="A81" s="52" t="s">
        <v>117</v>
      </c>
      <c r="B81" s="13">
        <v>3.0</v>
      </c>
      <c r="C81" s="31">
        <v>2.0</v>
      </c>
      <c r="D81" s="31">
        <v>24.0</v>
      </c>
      <c r="E81" s="31">
        <v>8.0</v>
      </c>
      <c r="F81" s="31">
        <v>0.0</v>
      </c>
      <c r="G81" s="31">
        <v>0.0</v>
      </c>
    </row>
    <row r="82" outlineLevel="1">
      <c r="A82" s="52" t="s">
        <v>118</v>
      </c>
      <c r="B82" s="13">
        <v>2.0</v>
      </c>
      <c r="C82" s="31">
        <v>2.0</v>
      </c>
      <c r="D82" s="31">
        <v>16.0</v>
      </c>
      <c r="E82" s="31">
        <v>8.0</v>
      </c>
      <c r="F82" s="31">
        <v>0.0</v>
      </c>
      <c r="G82" s="31">
        <v>0.0</v>
      </c>
    </row>
    <row r="83" outlineLevel="1">
      <c r="A83" s="48" t="s">
        <v>119</v>
      </c>
      <c r="B83" s="29"/>
      <c r="C83" s="20" t="s">
        <v>12</v>
      </c>
      <c r="D83" s="20" t="s">
        <v>16</v>
      </c>
      <c r="E83" s="20" t="s">
        <v>17</v>
      </c>
      <c r="F83" s="20" t="s">
        <v>18</v>
      </c>
      <c r="G83" s="20" t="s">
        <v>19</v>
      </c>
    </row>
    <row r="84" outlineLevel="1">
      <c r="A84" s="34" t="s">
        <v>120</v>
      </c>
      <c r="B84" s="35">
        <v>5.0</v>
      </c>
      <c r="C84" s="39"/>
      <c r="D84" s="39"/>
      <c r="E84" s="39"/>
      <c r="F84" s="39"/>
      <c r="G84" s="39"/>
    </row>
    <row r="85" outlineLevel="1">
      <c r="A85" s="53" t="s">
        <v>121</v>
      </c>
      <c r="B85" s="13">
        <v>3.0</v>
      </c>
      <c r="C85" s="31">
        <v>2.0</v>
      </c>
      <c r="D85" s="31">
        <v>24.0</v>
      </c>
      <c r="E85" s="31">
        <v>8.0</v>
      </c>
      <c r="F85" s="31">
        <v>0.0</v>
      </c>
      <c r="G85" s="31">
        <v>0.0</v>
      </c>
    </row>
    <row r="86" outlineLevel="1">
      <c r="A86" s="53" t="s">
        <v>122</v>
      </c>
      <c r="B86" s="13">
        <v>2.0</v>
      </c>
      <c r="C86" s="31">
        <v>0.0</v>
      </c>
      <c r="D86" s="31">
        <v>16.0</v>
      </c>
      <c r="E86" s="31">
        <v>8.0</v>
      </c>
      <c r="F86" s="31">
        <v>0.0</v>
      </c>
      <c r="G86" s="31">
        <v>0.0</v>
      </c>
    </row>
    <row r="87" outlineLevel="1">
      <c r="A87" s="34" t="s">
        <v>123</v>
      </c>
      <c r="B87" s="35">
        <v>8.0</v>
      </c>
      <c r="C87" s="39"/>
      <c r="D87" s="39"/>
      <c r="E87" s="39"/>
      <c r="F87" s="39"/>
      <c r="G87" s="39"/>
    </row>
    <row r="88" outlineLevel="1">
      <c r="A88" s="54" t="s">
        <v>124</v>
      </c>
      <c r="B88" s="13">
        <v>2.0</v>
      </c>
      <c r="C88" s="31">
        <v>0.0</v>
      </c>
      <c r="D88" s="31">
        <v>16.0</v>
      </c>
      <c r="E88" s="31">
        <v>4.0</v>
      </c>
      <c r="F88" s="31">
        <v>0.0</v>
      </c>
      <c r="G88" s="31">
        <v>0.0</v>
      </c>
    </row>
    <row r="89" outlineLevel="1">
      <c r="A89" s="54" t="s">
        <v>125</v>
      </c>
      <c r="B89" s="13">
        <v>3.0</v>
      </c>
      <c r="C89" s="31">
        <v>2.0</v>
      </c>
      <c r="D89" s="31">
        <v>24.0</v>
      </c>
      <c r="E89" s="31">
        <v>8.0</v>
      </c>
      <c r="F89" s="31">
        <v>0.0</v>
      </c>
      <c r="G89" s="31">
        <v>0.0</v>
      </c>
    </row>
    <row r="90" outlineLevel="1">
      <c r="A90" s="54" t="s">
        <v>126</v>
      </c>
      <c r="B90" s="13">
        <v>3.0</v>
      </c>
      <c r="C90" s="31">
        <v>2.0</v>
      </c>
      <c r="D90" s="31">
        <v>24.0</v>
      </c>
      <c r="E90" s="31">
        <v>8.0</v>
      </c>
      <c r="F90" s="31">
        <v>0.0</v>
      </c>
      <c r="G90" s="31">
        <v>0.0</v>
      </c>
    </row>
    <row r="91" outlineLevel="1">
      <c r="A91" s="55" t="s">
        <v>128</v>
      </c>
      <c r="B91" s="35">
        <v>6.0</v>
      </c>
      <c r="C91" s="56"/>
      <c r="D91" s="56"/>
      <c r="E91" s="56"/>
      <c r="F91" s="56"/>
      <c r="G91" s="56"/>
    </row>
    <row r="92" outlineLevel="1">
      <c r="A92" s="57" t="s">
        <v>129</v>
      </c>
      <c r="B92" s="13">
        <v>3.0</v>
      </c>
      <c r="C92" s="31">
        <v>2.0</v>
      </c>
      <c r="D92" s="31">
        <v>24.0</v>
      </c>
      <c r="E92" s="31">
        <v>8.0</v>
      </c>
      <c r="F92" s="31">
        <v>0.0</v>
      </c>
      <c r="G92" s="31">
        <v>0.0</v>
      </c>
    </row>
    <row r="93" outlineLevel="1">
      <c r="A93" s="57" t="s">
        <v>130</v>
      </c>
      <c r="B93" s="13">
        <v>3.0</v>
      </c>
      <c r="C93" s="31">
        <v>0.0</v>
      </c>
      <c r="D93" s="31">
        <v>24.0</v>
      </c>
      <c r="E93" s="31">
        <v>4.0</v>
      </c>
      <c r="F93" s="31">
        <v>0.0</v>
      </c>
      <c r="G93" s="31">
        <v>0.0</v>
      </c>
      <c r="I93" s="58"/>
    </row>
    <row r="94" outlineLevel="1">
      <c r="A94" s="55" t="s">
        <v>131</v>
      </c>
      <c r="B94" s="35">
        <v>6.0</v>
      </c>
      <c r="C94" s="56"/>
      <c r="D94" s="56"/>
      <c r="E94" s="56"/>
      <c r="F94" s="56"/>
      <c r="G94" s="56"/>
    </row>
    <row r="95" outlineLevel="1">
      <c r="A95" s="59" t="s">
        <v>132</v>
      </c>
      <c r="B95" s="13">
        <v>3.0</v>
      </c>
      <c r="C95" s="31">
        <v>2.0</v>
      </c>
      <c r="D95" s="31">
        <v>24.0</v>
      </c>
      <c r="E95" s="31">
        <v>8.0</v>
      </c>
      <c r="F95" s="31">
        <v>0.0</v>
      </c>
      <c r="G95" s="31">
        <v>0.0</v>
      </c>
    </row>
    <row r="96" outlineLevel="1">
      <c r="A96" s="59" t="s">
        <v>133</v>
      </c>
      <c r="B96" s="13">
        <v>3.0</v>
      </c>
      <c r="C96" s="31">
        <v>0.0</v>
      </c>
      <c r="D96" s="31">
        <v>24.0</v>
      </c>
      <c r="E96" s="31">
        <v>8.0</v>
      </c>
      <c r="F96" s="31">
        <v>0.0</v>
      </c>
      <c r="G96" s="31">
        <v>0.0</v>
      </c>
    </row>
    <row r="97">
      <c r="A97" s="60" t="s">
        <v>134</v>
      </c>
      <c r="B97" s="61">
        <v>15.0</v>
      </c>
      <c r="C97" s="62" t="s">
        <v>12</v>
      </c>
      <c r="D97" s="62" t="s">
        <v>16</v>
      </c>
      <c r="E97" s="62" t="s">
        <v>17</v>
      </c>
      <c r="F97" s="62" t="s">
        <v>18</v>
      </c>
      <c r="G97" s="62" t="s">
        <v>19</v>
      </c>
    </row>
    <row r="98">
      <c r="A98" s="63" t="s">
        <v>135</v>
      </c>
      <c r="B98" s="13">
        <v>2.0</v>
      </c>
      <c r="C98" s="31">
        <v>2.0</v>
      </c>
      <c r="D98" s="31">
        <v>8.0</v>
      </c>
      <c r="E98" s="31">
        <v>4.0</v>
      </c>
      <c r="F98" s="31">
        <v>8.0</v>
      </c>
      <c r="G98" s="31">
        <v>0.0</v>
      </c>
    </row>
    <row r="99" outlineLevel="1">
      <c r="A99" s="63" t="s">
        <v>136</v>
      </c>
      <c r="B99" s="13">
        <v>5.0</v>
      </c>
      <c r="C99" s="31">
        <v>4.0</v>
      </c>
      <c r="D99" s="31">
        <v>16.0</v>
      </c>
      <c r="E99" s="31">
        <v>8.0</v>
      </c>
      <c r="F99" s="31">
        <v>40.0</v>
      </c>
      <c r="G99" s="31">
        <v>0.0</v>
      </c>
    </row>
    <row r="100" outlineLevel="1">
      <c r="A100" s="63" t="s">
        <v>137</v>
      </c>
      <c r="B100" s="13">
        <v>5.0</v>
      </c>
      <c r="C100" s="31">
        <v>10.0</v>
      </c>
      <c r="D100" s="31">
        <v>10.0</v>
      </c>
      <c r="E100" s="31">
        <v>0.0</v>
      </c>
      <c r="F100" s="31">
        <v>20.0</v>
      </c>
      <c r="G100" s="31">
        <v>0.0</v>
      </c>
    </row>
    <row r="101" outlineLevel="1">
      <c r="A101" s="63" t="s">
        <v>138</v>
      </c>
      <c r="B101" s="13">
        <v>3.0</v>
      </c>
      <c r="C101" s="31">
        <v>2.0</v>
      </c>
      <c r="D101" s="31">
        <v>8.0</v>
      </c>
      <c r="E101" s="31">
        <v>24.0</v>
      </c>
      <c r="F101" s="31">
        <v>0.0</v>
      </c>
      <c r="G101" s="31">
        <v>0.0</v>
      </c>
    </row>
    <row r="102" outlineLevel="1">
      <c r="A102" s="60" t="s">
        <v>139</v>
      </c>
      <c r="B102" s="61">
        <v>16.0</v>
      </c>
      <c r="C102" s="62" t="s">
        <v>12</v>
      </c>
      <c r="D102" s="62" t="s">
        <v>16</v>
      </c>
      <c r="E102" s="62" t="s">
        <v>17</v>
      </c>
      <c r="F102" s="62" t="s">
        <v>18</v>
      </c>
      <c r="G102" s="62" t="s">
        <v>19</v>
      </c>
    </row>
    <row r="103">
      <c r="A103" s="64" t="s">
        <v>140</v>
      </c>
      <c r="B103" s="13">
        <v>3.0</v>
      </c>
      <c r="C103" s="31">
        <v>4.0</v>
      </c>
      <c r="D103" s="31">
        <v>16.0</v>
      </c>
      <c r="E103" s="31">
        <v>16.0</v>
      </c>
      <c r="F103" s="31">
        <v>8.0</v>
      </c>
      <c r="G103" s="31">
        <v>0.0</v>
      </c>
    </row>
    <row r="104" outlineLevel="1">
      <c r="A104" s="64" t="s">
        <v>141</v>
      </c>
      <c r="B104" s="13">
        <v>3.0</v>
      </c>
      <c r="C104" s="31">
        <v>2.0</v>
      </c>
      <c r="D104" s="31">
        <v>8.0</v>
      </c>
      <c r="E104" s="31">
        <v>4.0</v>
      </c>
      <c r="F104" s="31">
        <v>24.0</v>
      </c>
      <c r="G104" s="31">
        <v>0.0</v>
      </c>
    </row>
    <row r="105" outlineLevel="1">
      <c r="A105" s="64" t="s">
        <v>142</v>
      </c>
      <c r="B105" s="13">
        <v>3.0</v>
      </c>
      <c r="C105" s="31">
        <v>4.0</v>
      </c>
      <c r="D105" s="31">
        <v>16.0</v>
      </c>
      <c r="E105" s="31">
        <v>16.0</v>
      </c>
      <c r="F105" s="31">
        <v>8.0</v>
      </c>
      <c r="G105" s="31">
        <v>0.0</v>
      </c>
    </row>
    <row r="106" outlineLevel="1">
      <c r="A106" s="64" t="s">
        <v>143</v>
      </c>
      <c r="B106" s="13">
        <v>3.0</v>
      </c>
      <c r="C106" s="31">
        <v>12.0</v>
      </c>
      <c r="D106" s="31">
        <v>8.0</v>
      </c>
      <c r="E106" s="31">
        <v>0.0</v>
      </c>
      <c r="F106" s="31">
        <v>0.0</v>
      </c>
      <c r="G106" s="31">
        <v>0.0</v>
      </c>
    </row>
    <row r="107" outlineLevel="1">
      <c r="A107" s="64" t="s">
        <v>144</v>
      </c>
      <c r="B107" s="13">
        <v>3.0</v>
      </c>
      <c r="C107" s="31">
        <v>4.0</v>
      </c>
      <c r="D107" s="31">
        <v>12.0</v>
      </c>
      <c r="E107" s="31">
        <v>0.0</v>
      </c>
      <c r="F107" s="31">
        <v>0.0</v>
      </c>
      <c r="G107" s="31">
        <v>8.0</v>
      </c>
    </row>
    <row r="108" outlineLevel="1">
      <c r="A108" s="64" t="s">
        <v>145</v>
      </c>
      <c r="B108" s="13">
        <v>1.0</v>
      </c>
      <c r="C108" s="31">
        <v>8.0</v>
      </c>
      <c r="D108" s="31">
        <v>0.0</v>
      </c>
      <c r="E108" s="31">
        <v>0.0</v>
      </c>
      <c r="F108" s="31">
        <v>0.0</v>
      </c>
      <c r="G108" s="31">
        <v>0.0</v>
      </c>
    </row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</sheetData>
  <mergeCells count="3">
    <mergeCell ref="A2:D2"/>
    <mergeCell ref="C4:G4"/>
    <mergeCell ref="J4:K4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1" width="6.43"/>
    <col customWidth="1" min="2" max="2" width="21.0"/>
    <col customWidth="1" min="3" max="3" width="40.43"/>
    <col customWidth="1" min="4" max="4" width="10.71"/>
    <col customWidth="1" min="5" max="5" width="7.43"/>
    <col customWidth="1" min="6" max="6" width="23.71"/>
    <col customWidth="1" min="7" max="7" width="4.86"/>
    <col customWidth="1" min="8" max="9" width="31.14"/>
    <col customWidth="1" min="10" max="10" width="16.0"/>
    <col customWidth="1" min="11" max="11" width="15.29"/>
    <col customWidth="1" min="12" max="26" width="10.71"/>
  </cols>
  <sheetData>
    <row r="1" ht="14.25" customHeight="1"/>
    <row r="2" ht="14.25" customHeight="1">
      <c r="A2" s="1" t="s">
        <v>1</v>
      </c>
      <c r="B2" s="1" t="s">
        <v>2</v>
      </c>
      <c r="C2" s="1" t="s">
        <v>3</v>
      </c>
      <c r="D2" s="3" t="s">
        <v>4</v>
      </c>
      <c r="E2" s="1" t="s">
        <v>5</v>
      </c>
      <c r="F2" s="1" t="s">
        <v>6</v>
      </c>
      <c r="H2" s="7" t="s">
        <v>7</v>
      </c>
      <c r="I2" s="8"/>
      <c r="J2" s="8"/>
      <c r="K2" s="10"/>
    </row>
    <row r="3" ht="14.25" customHeight="1">
      <c r="A3" s="6" t="s">
        <v>11</v>
      </c>
      <c r="B3" s="6" t="s">
        <v>12</v>
      </c>
      <c r="C3" s="13" t="s">
        <v>13</v>
      </c>
      <c r="D3" s="16">
        <v>12500.0</v>
      </c>
      <c r="E3" s="17">
        <v>13.0</v>
      </c>
      <c r="F3" s="22">
        <f t="shared" ref="F3:F7" si="1">D3*E3</f>
        <v>162500</v>
      </c>
      <c r="H3" s="1" t="s">
        <v>2</v>
      </c>
      <c r="I3" s="1" t="s">
        <v>3</v>
      </c>
      <c r="J3" s="1" t="s">
        <v>23</v>
      </c>
      <c r="K3" s="1" t="s">
        <v>24</v>
      </c>
    </row>
    <row r="4" ht="14.25" customHeight="1">
      <c r="A4" s="6" t="s">
        <v>25</v>
      </c>
      <c r="B4" s="6" t="s">
        <v>16</v>
      </c>
      <c r="C4" s="24" t="s">
        <v>28</v>
      </c>
      <c r="D4" s="16">
        <v>7340.0</v>
      </c>
      <c r="E4" s="17">
        <f>SUM(EDT!D6:D12)</f>
        <v>48</v>
      </c>
      <c r="F4" s="22">
        <f t="shared" si="1"/>
        <v>352320</v>
      </c>
      <c r="H4" s="6" t="s">
        <v>12</v>
      </c>
      <c r="I4" s="13" t="s">
        <v>13</v>
      </c>
      <c r="J4" s="16">
        <v>12500.0</v>
      </c>
      <c r="K4" s="27">
        <f>2250000</f>
        <v>2250000</v>
      </c>
      <c r="M4" s="28"/>
    </row>
    <row r="5" ht="14.25" customHeight="1">
      <c r="A5" s="6" t="s">
        <v>17</v>
      </c>
      <c r="B5" s="6" t="s">
        <v>30</v>
      </c>
      <c r="C5" s="13" t="s">
        <v>31</v>
      </c>
      <c r="D5" s="16">
        <v>13278.0</v>
      </c>
      <c r="E5" s="17">
        <f>SUM(EDT!E6:E12)</f>
        <v>0</v>
      </c>
      <c r="F5" s="22">
        <f t="shared" si="1"/>
        <v>0</v>
      </c>
      <c r="H5" s="6" t="s">
        <v>16</v>
      </c>
      <c r="I5" s="24" t="s">
        <v>28</v>
      </c>
      <c r="J5" s="16">
        <v>7340.0</v>
      </c>
      <c r="K5" s="27">
        <f>1321205</f>
        <v>1321205</v>
      </c>
      <c r="M5" s="28"/>
    </row>
    <row r="6" ht="14.25" customHeight="1">
      <c r="A6" s="6" t="s">
        <v>18</v>
      </c>
      <c r="B6" s="6" t="s">
        <v>33</v>
      </c>
      <c r="C6" s="13" t="s">
        <v>34</v>
      </c>
      <c r="D6" s="16">
        <v>10944.0</v>
      </c>
      <c r="E6" s="17">
        <f>SUM(EDT!F6:F12)</f>
        <v>0</v>
      </c>
      <c r="F6" s="22">
        <f t="shared" si="1"/>
        <v>0</v>
      </c>
      <c r="H6" s="6" t="s">
        <v>45</v>
      </c>
      <c r="I6" s="13" t="s">
        <v>31</v>
      </c>
      <c r="J6" s="16">
        <v>13278.0</v>
      </c>
      <c r="K6" s="27">
        <f>2390000</f>
        <v>2390000</v>
      </c>
      <c r="M6" s="28"/>
    </row>
    <row r="7" ht="14.25" customHeight="1">
      <c r="A7" s="6" t="s">
        <v>36</v>
      </c>
      <c r="B7" s="6" t="s">
        <v>19</v>
      </c>
      <c r="C7" s="13" t="s">
        <v>37</v>
      </c>
      <c r="D7" s="16">
        <v>8444.0</v>
      </c>
      <c r="E7" s="17">
        <f>SUM(EDT!G6:G12)</f>
        <v>0</v>
      </c>
      <c r="F7" s="22">
        <f t="shared" si="1"/>
        <v>0</v>
      </c>
      <c r="H7" s="6" t="s">
        <v>33</v>
      </c>
      <c r="I7" s="13" t="s">
        <v>34</v>
      </c>
      <c r="J7" s="16">
        <v>10944.0</v>
      </c>
      <c r="K7" s="27">
        <f>1970000</f>
        <v>1970000</v>
      </c>
      <c r="M7" s="28"/>
    </row>
    <row r="8" ht="14.25" customHeight="1">
      <c r="A8" s="6"/>
      <c r="B8" s="11" t="s">
        <v>52</v>
      </c>
      <c r="C8" s="12"/>
      <c r="D8" s="12"/>
      <c r="E8" s="14"/>
      <c r="F8" s="22">
        <f>SUM(F3:F7)</f>
        <v>514820</v>
      </c>
      <c r="H8" s="6" t="s">
        <v>19</v>
      </c>
      <c r="I8" s="13" t="s">
        <v>37</v>
      </c>
      <c r="J8" s="16">
        <v>8444.0</v>
      </c>
      <c r="K8" s="27">
        <f>1520000</f>
        <v>1520000</v>
      </c>
      <c r="M8" s="28"/>
    </row>
    <row r="9" ht="14.25" customHeight="1">
      <c r="M9" s="28"/>
    </row>
    <row r="10" ht="14.25" customHeight="1"/>
    <row r="11" ht="14.25" customHeight="1">
      <c r="A11" s="1" t="s">
        <v>1</v>
      </c>
      <c r="B11" s="1" t="s">
        <v>2</v>
      </c>
      <c r="C11" s="1" t="s">
        <v>3</v>
      </c>
      <c r="D11" s="3" t="s">
        <v>60</v>
      </c>
      <c r="E11" s="1" t="s">
        <v>5</v>
      </c>
      <c r="F11" s="1" t="s">
        <v>62</v>
      </c>
      <c r="H11" s="7" t="s">
        <v>63</v>
      </c>
      <c r="I11" s="10"/>
    </row>
    <row r="12" ht="14.25" customHeight="1">
      <c r="A12" s="6" t="s">
        <v>11</v>
      </c>
      <c r="B12" s="6" t="s">
        <v>12</v>
      </c>
      <c r="C12" s="13" t="s">
        <v>13</v>
      </c>
      <c r="D12" s="16">
        <v>12500.0</v>
      </c>
      <c r="E12" s="17">
        <f>SUM(EDT!C14:C20)</f>
        <v>26</v>
      </c>
      <c r="F12" s="22">
        <f t="shared" ref="F12:F16" si="2">D12*E12</f>
        <v>325000</v>
      </c>
      <c r="H12" s="6" t="s">
        <v>12</v>
      </c>
      <c r="I12" s="22">
        <f t="shared" ref="I12:I16" si="3">F3+F12+F21+F30+F39</f>
        <v>3012500</v>
      </c>
    </row>
    <row r="13" ht="14.25" customHeight="1">
      <c r="A13" s="6" t="s">
        <v>25</v>
      </c>
      <c r="B13" s="6" t="s">
        <v>16</v>
      </c>
      <c r="C13" s="24" t="s">
        <v>28</v>
      </c>
      <c r="D13" s="16">
        <v>7340.0</v>
      </c>
      <c r="E13" s="17">
        <f>SUM(EDT!D14:D20)</f>
        <v>74</v>
      </c>
      <c r="F13" s="22">
        <f t="shared" si="2"/>
        <v>543160</v>
      </c>
      <c r="H13" s="6" t="s">
        <v>16</v>
      </c>
      <c r="I13" s="22">
        <f t="shared" si="3"/>
        <v>8455680</v>
      </c>
    </row>
    <row r="14" ht="14.25" customHeight="1">
      <c r="A14" s="6" t="s">
        <v>17</v>
      </c>
      <c r="B14" s="6" t="s">
        <v>30</v>
      </c>
      <c r="C14" s="13" t="s">
        <v>31</v>
      </c>
      <c r="D14" s="16">
        <v>13278.0</v>
      </c>
      <c r="E14" s="17">
        <f>SUM(EDT!E14:E20)</f>
        <v>0</v>
      </c>
      <c r="F14" s="22">
        <f t="shared" si="2"/>
        <v>0</v>
      </c>
      <c r="H14" s="6" t="s">
        <v>45</v>
      </c>
      <c r="I14" s="22">
        <f t="shared" si="3"/>
        <v>5895432</v>
      </c>
    </row>
    <row r="15" ht="14.25" customHeight="1">
      <c r="A15" s="6" t="s">
        <v>18</v>
      </c>
      <c r="B15" s="6" t="s">
        <v>33</v>
      </c>
      <c r="C15" s="13" t="s">
        <v>34</v>
      </c>
      <c r="D15" s="16">
        <v>10944.0</v>
      </c>
      <c r="E15" s="17">
        <f>SUM(EDT!F14:F20)</f>
        <v>0</v>
      </c>
      <c r="F15" s="22">
        <f t="shared" si="2"/>
        <v>0</v>
      </c>
      <c r="H15" s="6" t="s">
        <v>33</v>
      </c>
      <c r="I15" s="22">
        <f t="shared" si="3"/>
        <v>1181952</v>
      </c>
    </row>
    <row r="16" ht="14.25" customHeight="1">
      <c r="A16" s="6" t="s">
        <v>36</v>
      </c>
      <c r="B16" s="6" t="s">
        <v>19</v>
      </c>
      <c r="C16" s="13" t="s">
        <v>37</v>
      </c>
      <c r="D16" s="16">
        <v>8444.0</v>
      </c>
      <c r="E16" s="17">
        <f>SUM(EDT!G14:G20)</f>
        <v>60</v>
      </c>
      <c r="F16" s="22">
        <f t="shared" si="2"/>
        <v>506640</v>
      </c>
      <c r="H16" s="6" t="s">
        <v>19</v>
      </c>
      <c r="I16" s="22">
        <f t="shared" si="3"/>
        <v>1013280</v>
      </c>
    </row>
    <row r="17" ht="14.25" customHeight="1">
      <c r="A17" s="6"/>
      <c r="B17" s="11" t="s">
        <v>90</v>
      </c>
      <c r="C17" s="12"/>
      <c r="D17" s="12"/>
      <c r="E17" s="14"/>
      <c r="F17" s="22">
        <f>SUM(F12:F16)</f>
        <v>1374800</v>
      </c>
      <c r="H17" s="45" t="s">
        <v>94</v>
      </c>
      <c r="I17" s="46">
        <f>SUM(I12:I16)</f>
        <v>19558844</v>
      </c>
    </row>
    <row r="18" ht="14.25" customHeight="1"/>
    <row r="19" ht="14.25" customHeight="1"/>
    <row r="20" ht="14.25" customHeight="1">
      <c r="A20" s="1" t="s">
        <v>1</v>
      </c>
      <c r="B20" s="1" t="s">
        <v>2</v>
      </c>
      <c r="C20" s="1" t="s">
        <v>3</v>
      </c>
      <c r="D20" s="3" t="s">
        <v>60</v>
      </c>
      <c r="E20" s="1" t="s">
        <v>5</v>
      </c>
      <c r="F20" s="1" t="s">
        <v>99</v>
      </c>
      <c r="H20" s="7" t="s">
        <v>100</v>
      </c>
      <c r="I20" s="10"/>
    </row>
    <row r="21" ht="14.25" customHeight="1">
      <c r="A21" s="6" t="s">
        <v>11</v>
      </c>
      <c r="B21" s="6" t="s">
        <v>12</v>
      </c>
      <c r="C21" s="13" t="s">
        <v>13</v>
      </c>
      <c r="D21" s="16">
        <v>12500.0</v>
      </c>
      <c r="E21" s="17">
        <f>SUM(EDT!C22:C34,EDT!C36:C42,EDT!C44:C47,EDT!C49:C51,EDT!C53:C55,EDT!C57:C58,EDT!C60:C62,EDT!C64:C65,EDT!C68:C70,EDT!C72:C74,EDT!C76:C77,EDT!C79,EDT!C81:C82,EDT!C85:C86,EDT!C88:C90,EDT!C92:C93,EDT!C95:C96)</f>
        <v>150</v>
      </c>
      <c r="F21" s="22">
        <f t="shared" ref="F21:F25" si="4">D21*E21</f>
        <v>1875000</v>
      </c>
      <c r="H21" s="6" t="s">
        <v>15</v>
      </c>
      <c r="I21" s="22">
        <f>F8</f>
        <v>514820</v>
      </c>
    </row>
    <row r="22" ht="14.25" customHeight="1">
      <c r="A22" s="6" t="s">
        <v>25</v>
      </c>
      <c r="B22" s="6" t="s">
        <v>16</v>
      </c>
      <c r="C22" s="24" t="s">
        <v>28</v>
      </c>
      <c r="D22" s="16">
        <v>7340.0</v>
      </c>
      <c r="E22" s="17">
        <f>SUM(EDT!D23:D35,EDT!D37:D43,EDT!D45:D48,EDT!D50:D52,EDT!D54:D56,EDT!D58:D59,EDT!D61:D63,EDT!D65:D66,EDT!D69:D71,EDT!D73:D75,EDT!D77:D78,EDT!D80,EDT!D82:D83,EDT!D86:D87,EDT!D89:D91,EDT!D93:D94,EDT!D96:D97)</f>
        <v>928</v>
      </c>
      <c r="F22" s="22">
        <f t="shared" si="4"/>
        <v>6811520</v>
      </c>
      <c r="H22" s="6" t="s">
        <v>127</v>
      </c>
      <c r="I22" s="22">
        <f>F17</f>
        <v>1374800</v>
      </c>
    </row>
    <row r="23" ht="14.25" customHeight="1">
      <c r="A23" s="6" t="s">
        <v>17</v>
      </c>
      <c r="B23" s="6" t="s">
        <v>30</v>
      </c>
      <c r="C23" s="13" t="s">
        <v>31</v>
      </c>
      <c r="D23" s="16">
        <v>13278.0</v>
      </c>
      <c r="E23" s="17">
        <f>SUM(EDT!E22:E34,EDT!E36:E42,EDT!E44:E47,EDT!E49:E51,EDT!E53:E55,EDT!E57:E58,EDT!E60:E62,EDT!E64:E65,EDT!E68:E70,EDT!E72:E74,EDT!E76:E77,EDT!E79,EDT!E81:E82,EDT!E85:E86,EDT!E88:E90,EDT!E92:E93,EDT!E95:E96)</f>
        <v>372</v>
      </c>
      <c r="F23" s="22">
        <f t="shared" si="4"/>
        <v>4939416</v>
      </c>
      <c r="H23" s="6" t="s">
        <v>49</v>
      </c>
      <c r="I23" s="22">
        <f>F26</f>
        <v>14065024</v>
      </c>
    </row>
    <row r="24" ht="14.25" customHeight="1">
      <c r="A24" s="6" t="s">
        <v>18</v>
      </c>
      <c r="B24" s="6" t="s">
        <v>33</v>
      </c>
      <c r="C24" s="13" t="s">
        <v>34</v>
      </c>
      <c r="D24" s="16">
        <v>10944.0</v>
      </c>
      <c r="E24" s="17">
        <f>SUM(EDT!F22:F34,EDT!F36:F42,EDT!F44:F47,EDT!F49:F51,EDT!F53:F55,EDT!F57:F58,EDT!F60:F62,EDT!F64:F65,EDT!F68:F70,EDT!F72:F74,EDT!F76:F77,EDT!F79,EDT!F81:F82,EDT!F85:F86,EDT!F88:F90,EDT!F92:F93,EDT!F95:F96)</f>
        <v>0</v>
      </c>
      <c r="F24" s="22">
        <f t="shared" si="4"/>
        <v>0</v>
      </c>
      <c r="H24" s="6" t="s">
        <v>146</v>
      </c>
      <c r="I24" s="22">
        <f>F35</f>
        <v>1755480</v>
      </c>
    </row>
    <row r="25" ht="14.25" customHeight="1">
      <c r="A25" s="6" t="s">
        <v>36</v>
      </c>
      <c r="B25" s="6" t="s">
        <v>19</v>
      </c>
      <c r="C25" s="13" t="s">
        <v>37</v>
      </c>
      <c r="D25" s="16">
        <v>8444.0</v>
      </c>
      <c r="E25" s="17">
        <f>SUM(EDT!G22:G34,EDT!G36:G42,EDT!G44:G47,EDT!G49:G51,EDT!G53:G55,EDT!G57:G58,EDT!G60:G62,EDT!G64:G65,EDT!G68:G70,EDT!G72:G74,EDT!G76:G77,EDT!G79,EDT!G81:G82,EDT!G85:G86,EDT!G88:G90,EDT!G92:G93,EDT!G95:G96)</f>
        <v>52</v>
      </c>
      <c r="F25" s="22">
        <f t="shared" si="4"/>
        <v>439088</v>
      </c>
      <c r="H25" s="6" t="s">
        <v>147</v>
      </c>
      <c r="I25" s="22">
        <f>F44</f>
        <v>1848720</v>
      </c>
    </row>
    <row r="26" ht="14.25" customHeight="1">
      <c r="A26" s="6"/>
      <c r="B26" s="11" t="s">
        <v>148</v>
      </c>
      <c r="C26" s="12"/>
      <c r="D26" s="12"/>
      <c r="E26" s="14"/>
      <c r="F26" s="22">
        <f>SUM(F21:F25)</f>
        <v>14065024</v>
      </c>
      <c r="H26" s="45" t="s">
        <v>149</v>
      </c>
      <c r="I26" s="46">
        <f>SUM(I21:I25)</f>
        <v>19558844</v>
      </c>
    </row>
    <row r="27" ht="14.25" customHeight="1"/>
    <row r="28" ht="14.25" customHeight="1"/>
    <row r="29" ht="14.25" customHeight="1">
      <c r="A29" s="1" t="s">
        <v>1</v>
      </c>
      <c r="B29" s="1" t="s">
        <v>2</v>
      </c>
      <c r="C29" s="1" t="s">
        <v>3</v>
      </c>
      <c r="D29" s="3" t="s">
        <v>60</v>
      </c>
      <c r="E29" s="1" t="s">
        <v>5</v>
      </c>
      <c r="F29" s="1" t="s">
        <v>150</v>
      </c>
      <c r="H29" s="1" t="s">
        <v>151</v>
      </c>
      <c r="I29" s="65">
        <v>0.6</v>
      </c>
    </row>
    <row r="30" ht="14.25" customHeight="1">
      <c r="A30" s="6" t="s">
        <v>11</v>
      </c>
      <c r="B30" s="6" t="s">
        <v>12</v>
      </c>
      <c r="C30" s="13" t="s">
        <v>13</v>
      </c>
      <c r="D30" s="16">
        <v>12500.0</v>
      </c>
      <c r="E30" s="17">
        <f>SUM(EDT!C98:C101)</f>
        <v>18</v>
      </c>
      <c r="F30" s="22">
        <f t="shared" ref="F30:F34" si="5">D30*E30</f>
        <v>225000</v>
      </c>
      <c r="H30" s="6" t="s">
        <v>152</v>
      </c>
      <c r="I30" s="22">
        <f>I26*I29</f>
        <v>11735306.4</v>
      </c>
    </row>
    <row r="31" ht="14.25" customHeight="1">
      <c r="A31" s="6" t="s">
        <v>25</v>
      </c>
      <c r="B31" s="6" t="s">
        <v>16</v>
      </c>
      <c r="C31" s="24" t="s">
        <v>28</v>
      </c>
      <c r="D31" s="16">
        <v>7340.0</v>
      </c>
      <c r="E31" s="17">
        <f>SUM(EDT!D98:D101)</f>
        <v>42</v>
      </c>
      <c r="F31" s="22">
        <f t="shared" si="5"/>
        <v>308280</v>
      </c>
      <c r="H31" s="6" t="s">
        <v>153</v>
      </c>
      <c r="I31" s="22">
        <f>I26+I30</f>
        <v>31294150.4</v>
      </c>
    </row>
    <row r="32" ht="14.25" customHeight="1">
      <c r="A32" s="6" t="s">
        <v>17</v>
      </c>
      <c r="B32" s="6" t="s">
        <v>30</v>
      </c>
      <c r="C32" s="13" t="s">
        <v>31</v>
      </c>
      <c r="D32" s="16">
        <v>13278.0</v>
      </c>
      <c r="E32" s="17">
        <f>SUM(EDT!E98:E101)</f>
        <v>36</v>
      </c>
      <c r="F32" s="22">
        <f t="shared" si="5"/>
        <v>478008</v>
      </c>
    </row>
    <row r="33" ht="14.25" customHeight="1">
      <c r="A33" s="6" t="s">
        <v>18</v>
      </c>
      <c r="B33" s="6" t="s">
        <v>33</v>
      </c>
      <c r="C33" s="13" t="s">
        <v>34</v>
      </c>
      <c r="D33" s="16">
        <v>10944.0</v>
      </c>
      <c r="E33" s="17">
        <f>SUM(EDT!F98:F101)</f>
        <v>68</v>
      </c>
      <c r="F33" s="22">
        <f t="shared" si="5"/>
        <v>744192</v>
      </c>
    </row>
    <row r="34" ht="14.25" customHeight="1">
      <c r="A34" s="6" t="s">
        <v>36</v>
      </c>
      <c r="B34" s="6" t="s">
        <v>19</v>
      </c>
      <c r="C34" s="13" t="s">
        <v>37</v>
      </c>
      <c r="D34" s="16">
        <v>8444.0</v>
      </c>
      <c r="E34" s="17">
        <f>SUM(EDT!G98:G101)</f>
        <v>0</v>
      </c>
      <c r="F34" s="22">
        <f t="shared" si="5"/>
        <v>0</v>
      </c>
    </row>
    <row r="35" ht="14.25" customHeight="1">
      <c r="A35" s="6"/>
      <c r="B35" s="11" t="s">
        <v>154</v>
      </c>
      <c r="C35" s="12"/>
      <c r="D35" s="12"/>
      <c r="E35" s="14"/>
      <c r="F35" s="22">
        <f>SUM(F30:F34)</f>
        <v>1755480</v>
      </c>
    </row>
    <row r="36" ht="14.25" customHeight="1"/>
    <row r="37" ht="14.25" customHeight="1"/>
    <row r="38" ht="14.25" customHeight="1">
      <c r="A38" s="1" t="s">
        <v>1</v>
      </c>
      <c r="B38" s="1" t="s">
        <v>2</v>
      </c>
      <c r="C38" s="1" t="s">
        <v>3</v>
      </c>
      <c r="D38" s="3" t="s">
        <v>60</v>
      </c>
      <c r="E38" s="1" t="s">
        <v>5</v>
      </c>
      <c r="F38" s="3" t="s">
        <v>155</v>
      </c>
    </row>
    <row r="39" ht="14.25" customHeight="1">
      <c r="A39" s="6" t="s">
        <v>11</v>
      </c>
      <c r="B39" s="6" t="s">
        <v>12</v>
      </c>
      <c r="C39" s="13" t="s">
        <v>13</v>
      </c>
      <c r="D39" s="16">
        <v>12500.0</v>
      </c>
      <c r="E39" s="17">
        <f>SUM(EDT!C103:C108)</f>
        <v>34</v>
      </c>
      <c r="F39" s="22">
        <f t="shared" ref="F39:F43" si="6">D39*E39</f>
        <v>425000</v>
      </c>
    </row>
    <row r="40" ht="14.25" customHeight="1">
      <c r="A40" s="6" t="s">
        <v>25</v>
      </c>
      <c r="B40" s="6" t="s">
        <v>16</v>
      </c>
      <c r="C40" s="24" t="s">
        <v>28</v>
      </c>
      <c r="D40" s="16">
        <v>7340.0</v>
      </c>
      <c r="E40" s="17">
        <f>SUM(EDT!D103:D108)</f>
        <v>60</v>
      </c>
      <c r="F40" s="22">
        <f t="shared" si="6"/>
        <v>440400</v>
      </c>
    </row>
    <row r="41" ht="14.25" customHeight="1">
      <c r="A41" s="6" t="s">
        <v>17</v>
      </c>
      <c r="B41" s="6" t="s">
        <v>30</v>
      </c>
      <c r="C41" s="13" t="s">
        <v>31</v>
      </c>
      <c r="D41" s="16">
        <v>13278.0</v>
      </c>
      <c r="E41" s="17">
        <f>SUM(EDT!E103:E108)</f>
        <v>36</v>
      </c>
      <c r="F41" s="22">
        <f t="shared" si="6"/>
        <v>478008</v>
      </c>
    </row>
    <row r="42" ht="14.25" customHeight="1">
      <c r="A42" s="6" t="s">
        <v>18</v>
      </c>
      <c r="B42" s="6" t="s">
        <v>33</v>
      </c>
      <c r="C42" s="13" t="s">
        <v>34</v>
      </c>
      <c r="D42" s="16">
        <v>10944.0</v>
      </c>
      <c r="E42" s="17">
        <f>SUM(EDT!F103:F108)</f>
        <v>40</v>
      </c>
      <c r="F42" s="22">
        <f t="shared" si="6"/>
        <v>437760</v>
      </c>
    </row>
    <row r="43" ht="14.25" customHeight="1">
      <c r="A43" s="6" t="s">
        <v>36</v>
      </c>
      <c r="B43" s="6" t="s">
        <v>19</v>
      </c>
      <c r="C43" s="13" t="s">
        <v>37</v>
      </c>
      <c r="D43" s="16">
        <v>8444.0</v>
      </c>
      <c r="E43" s="17">
        <f>SUM(EDT!G103:G108)</f>
        <v>8</v>
      </c>
      <c r="F43" s="22">
        <f t="shared" si="6"/>
        <v>67552</v>
      </c>
    </row>
    <row r="44" ht="14.25" customHeight="1">
      <c r="A44" s="6"/>
      <c r="B44" s="11" t="s">
        <v>156</v>
      </c>
      <c r="C44" s="12"/>
      <c r="D44" s="12"/>
      <c r="E44" s="14"/>
      <c r="F44" s="22">
        <f>SUM(F39:F43)</f>
        <v>1848720</v>
      </c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">
    <mergeCell ref="H2:K2"/>
    <mergeCell ref="B8:E8"/>
    <mergeCell ref="H11:I11"/>
    <mergeCell ref="B17:E17"/>
    <mergeCell ref="H20:I20"/>
    <mergeCell ref="B26:E26"/>
    <mergeCell ref="B35:E35"/>
    <mergeCell ref="B44:E44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2018-01-25T19:02:19Z</dcterms:created>
  <dc:creator>Gerardo Galan Cruz</dc:creator>
</cp:coreProperties>
</file>